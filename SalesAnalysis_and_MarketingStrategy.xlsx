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ml.chartshapes+xml"/>
  <Override PartName="/xl/pivotTables/pivotTable2.xml" ContentType="application/vnd.openxmlformats-officedocument.spreadsheetml.pivotTable+xml"/>
  <Override PartName="/xl/drawings/drawing3.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4.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5.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4.xml" ContentType="application/vnd.openxmlformats-officedocument.spreadsheetml.pivotTable+xml"/>
  <Override PartName="/xl/drawings/drawing6.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12"/>
  <workbookPr defaultThemeVersion="202300"/>
  <mc:AlternateContent xmlns:mc="http://schemas.openxmlformats.org/markup-compatibility/2006">
    <mc:Choice Requires="x15">
      <x15ac:absPath xmlns:x15ac="http://schemas.microsoft.com/office/spreadsheetml/2010/11/ac" url="/Users/marcopolignano/Desktop/"/>
    </mc:Choice>
  </mc:AlternateContent>
  <xr:revisionPtr revIDLastSave="0" documentId="13_ncr:1_{FAC1F9E7-F91C-BA45-965F-6E73E9C79F51}" xr6:coauthVersionLast="47" xr6:coauthVersionMax="47" xr10:uidLastSave="{00000000-0000-0000-0000-000000000000}"/>
  <bookViews>
    <workbookView xWindow="1140" yWindow="680" windowWidth="29100" windowHeight="18960" xr2:uid="{5AAAA0C2-9ACF-F04A-82A5-EDB0961115BF}"/>
  </bookViews>
  <sheets>
    <sheet name="00_Dataset" sheetId="1" r:id="rId1"/>
    <sheet name="01_Data_Overview" sheetId="4" r:id="rId2"/>
    <sheet name="02_KPI_Overview" sheetId="3" r:id="rId3"/>
    <sheet name="03_Sales_By_Month" sheetId="2" r:id="rId4"/>
    <sheet name="04_Age_Segment_Insights" sheetId="5" r:id="rId5"/>
    <sheet name="05_Regional_Sales_Insights" sheetId="6" r:id="rId6"/>
    <sheet name="06_Marketing_Effectiveness" sheetId="7" r:id="rId7"/>
    <sheet name="07_Spending_Tier_Analysis" sheetId="8" r:id="rId8"/>
    <sheet name="08_Marketing_Strategies" sheetId="11" r:id="rId9"/>
  </sheets>
  <calcPr calcId="191029"/>
  <pivotCaches>
    <pivotCache cacheId="21" r:id="rId10"/>
  </pivotCach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N5" i="1" l="1"/>
  <c r="N2" i="1"/>
  <c r="N3" i="1"/>
  <c r="N4" i="1"/>
  <c r="N6" i="1"/>
  <c r="N7" i="1"/>
  <c r="N8" i="1"/>
  <c r="N9" i="1"/>
  <c r="N10" i="1"/>
  <c r="N11" i="1"/>
  <c r="N12" i="1"/>
  <c r="N13" i="1"/>
  <c r="N14" i="1"/>
  <c r="N15" i="1"/>
  <c r="N16" i="1"/>
  <c r="N17" i="1"/>
  <c r="N18" i="1"/>
  <c r="N19" i="1"/>
  <c r="N20" i="1"/>
  <c r="N21" i="1"/>
  <c r="N22" i="1"/>
  <c r="N23" i="1"/>
  <c r="N24" i="1"/>
  <c r="N25" i="1"/>
  <c r="N26" i="1"/>
  <c r="N27" i="1"/>
  <c r="N28" i="1"/>
  <c r="N29" i="1"/>
  <c r="N30" i="1"/>
  <c r="N31" i="1"/>
  <c r="N32" i="1"/>
  <c r="N33" i="1"/>
  <c r="N34" i="1"/>
  <c r="N35" i="1"/>
  <c r="N36" i="1"/>
  <c r="N37" i="1"/>
  <c r="N38" i="1"/>
  <c r="N39" i="1"/>
  <c r="N40" i="1"/>
  <c r="N41" i="1"/>
  <c r="N42" i="1"/>
  <c r="N43" i="1"/>
  <c r="N44" i="1"/>
  <c r="N45" i="1"/>
  <c r="N46" i="1"/>
  <c r="N47" i="1"/>
  <c r="N48" i="1"/>
  <c r="N49" i="1"/>
  <c r="N50" i="1"/>
  <c r="N51" i="1"/>
  <c r="N52" i="1"/>
  <c r="N53" i="1"/>
  <c r="N54" i="1"/>
  <c r="N55" i="1"/>
  <c r="N56" i="1"/>
  <c r="N57" i="1"/>
  <c r="N58" i="1"/>
  <c r="N59" i="1"/>
  <c r="N60" i="1"/>
  <c r="N61" i="1"/>
  <c r="N62" i="1"/>
  <c r="N63" i="1"/>
  <c r="N64" i="1"/>
  <c r="N65" i="1"/>
  <c r="N66" i="1"/>
  <c r="N67" i="1"/>
  <c r="N68" i="1"/>
  <c r="N69" i="1"/>
  <c r="N70" i="1"/>
  <c r="N71" i="1"/>
  <c r="N72" i="1"/>
  <c r="N73" i="1"/>
  <c r="N74" i="1"/>
  <c r="N75" i="1"/>
  <c r="N76" i="1"/>
  <c r="N77" i="1"/>
  <c r="N78" i="1"/>
  <c r="N79" i="1"/>
  <c r="N80" i="1"/>
  <c r="N81" i="1"/>
  <c r="N82" i="1"/>
  <c r="N83" i="1"/>
  <c r="N84" i="1"/>
  <c r="N85" i="1"/>
  <c r="N86" i="1"/>
  <c r="N87" i="1"/>
  <c r="N88" i="1"/>
  <c r="N89" i="1"/>
  <c r="N90" i="1"/>
  <c r="N91" i="1"/>
  <c r="N92" i="1"/>
  <c r="N93" i="1"/>
  <c r="N94" i="1"/>
  <c r="N95" i="1"/>
  <c r="N96" i="1"/>
  <c r="N97" i="1"/>
  <c r="N98" i="1"/>
  <c r="N99" i="1"/>
  <c r="N100" i="1"/>
  <c r="N101" i="1"/>
  <c r="N102" i="1"/>
  <c r="N103" i="1"/>
  <c r="N104" i="1"/>
  <c r="N105" i="1"/>
  <c r="N106" i="1"/>
  <c r="N107" i="1"/>
  <c r="N108" i="1"/>
  <c r="N109" i="1"/>
  <c r="N110" i="1"/>
  <c r="N111" i="1"/>
  <c r="N112" i="1"/>
  <c r="N113" i="1"/>
  <c r="N114" i="1"/>
  <c r="N115" i="1"/>
  <c r="N116" i="1"/>
  <c r="N117" i="1"/>
  <c r="N118" i="1"/>
  <c r="N119" i="1"/>
  <c r="N120" i="1"/>
  <c r="N121" i="1"/>
  <c r="N122" i="1"/>
  <c r="N123" i="1"/>
  <c r="N124" i="1"/>
  <c r="N125" i="1"/>
  <c r="N126" i="1"/>
  <c r="N127" i="1"/>
  <c r="N128" i="1"/>
  <c r="N129" i="1"/>
  <c r="N130" i="1"/>
  <c r="N131" i="1"/>
  <c r="N132" i="1"/>
  <c r="N133" i="1"/>
  <c r="N134" i="1"/>
  <c r="N135" i="1"/>
  <c r="N136" i="1"/>
  <c r="N137" i="1"/>
  <c r="N138" i="1"/>
  <c r="N139" i="1"/>
  <c r="N140" i="1"/>
  <c r="N141" i="1"/>
  <c r="N142" i="1"/>
  <c r="N143" i="1"/>
  <c r="N144" i="1"/>
  <c r="N145" i="1"/>
  <c r="N146" i="1"/>
  <c r="N147" i="1"/>
  <c r="N148" i="1"/>
  <c r="N149" i="1"/>
  <c r="N150" i="1"/>
  <c r="N151" i="1"/>
  <c r="N152" i="1"/>
  <c r="N153" i="1"/>
  <c r="N154" i="1"/>
  <c r="N155" i="1"/>
  <c r="N156" i="1"/>
  <c r="N157" i="1"/>
  <c r="N158" i="1"/>
  <c r="N159" i="1"/>
  <c r="N160" i="1"/>
  <c r="N161" i="1"/>
  <c r="N162" i="1"/>
  <c r="N163" i="1"/>
  <c r="N164" i="1"/>
  <c r="N165" i="1"/>
  <c r="N166" i="1"/>
  <c r="N167" i="1"/>
  <c r="N168" i="1"/>
  <c r="N169" i="1"/>
  <c r="N170" i="1"/>
  <c r="N171" i="1"/>
  <c r="N172" i="1"/>
  <c r="N173" i="1"/>
  <c r="N174" i="1"/>
  <c r="N175" i="1"/>
  <c r="N176" i="1"/>
  <c r="N177" i="1"/>
  <c r="N178" i="1"/>
  <c r="N179" i="1"/>
  <c r="N180" i="1"/>
  <c r="N181" i="1"/>
  <c r="N182" i="1"/>
  <c r="N183" i="1"/>
  <c r="N184" i="1"/>
  <c r="N185" i="1"/>
  <c r="N186" i="1"/>
  <c r="N187" i="1"/>
  <c r="N188" i="1"/>
  <c r="N189" i="1"/>
  <c r="N190" i="1"/>
  <c r="N191" i="1"/>
  <c r="N192" i="1"/>
  <c r="N193" i="1"/>
  <c r="N194" i="1"/>
  <c r="N195" i="1"/>
  <c r="N196" i="1"/>
  <c r="N197" i="1"/>
  <c r="N198" i="1"/>
  <c r="N199" i="1"/>
  <c r="N200" i="1"/>
  <c r="N201" i="1"/>
  <c r="N202" i="1"/>
  <c r="N203" i="1"/>
  <c r="N204" i="1"/>
  <c r="N205" i="1"/>
  <c r="N206" i="1"/>
  <c r="N207" i="1"/>
  <c r="N208" i="1"/>
  <c r="N209" i="1"/>
  <c r="N210" i="1"/>
  <c r="N211" i="1"/>
  <c r="N212" i="1"/>
  <c r="N213" i="1"/>
  <c r="N214" i="1"/>
  <c r="N215" i="1"/>
  <c r="N216" i="1"/>
  <c r="N217" i="1"/>
  <c r="N218" i="1"/>
  <c r="N219" i="1"/>
  <c r="N220" i="1"/>
  <c r="N221" i="1"/>
  <c r="N222" i="1"/>
  <c r="N223" i="1"/>
  <c r="N224" i="1"/>
  <c r="N225" i="1"/>
  <c r="N226" i="1"/>
  <c r="N227" i="1"/>
  <c r="N228" i="1"/>
  <c r="N229" i="1"/>
  <c r="N230" i="1"/>
  <c r="N231" i="1"/>
  <c r="N232" i="1"/>
  <c r="N233" i="1"/>
  <c r="N234" i="1"/>
  <c r="N235" i="1"/>
  <c r="N236" i="1"/>
  <c r="N237" i="1"/>
  <c r="N238" i="1"/>
  <c r="N239" i="1"/>
  <c r="N240" i="1"/>
  <c r="N241" i="1"/>
  <c r="N242" i="1"/>
  <c r="N243" i="1"/>
  <c r="N244" i="1"/>
  <c r="N245" i="1"/>
  <c r="N246" i="1"/>
  <c r="N247" i="1"/>
  <c r="N248" i="1"/>
  <c r="N249" i="1"/>
  <c r="N250" i="1"/>
  <c r="N251" i="1"/>
  <c r="N252" i="1"/>
  <c r="N253" i="1"/>
  <c r="N254" i="1"/>
  <c r="N255" i="1"/>
  <c r="N256" i="1"/>
  <c r="N257" i="1"/>
  <c r="N258" i="1"/>
  <c r="N259" i="1"/>
  <c r="N260" i="1"/>
  <c r="N261" i="1"/>
  <c r="N262" i="1"/>
  <c r="N263" i="1"/>
  <c r="N264" i="1"/>
  <c r="N265" i="1"/>
  <c r="N266" i="1"/>
  <c r="N267" i="1"/>
  <c r="N268" i="1"/>
  <c r="N269" i="1"/>
  <c r="N270" i="1"/>
  <c r="N271" i="1"/>
  <c r="N272" i="1"/>
  <c r="N273" i="1"/>
  <c r="N274" i="1"/>
  <c r="N275" i="1"/>
  <c r="N276" i="1"/>
  <c r="N277" i="1"/>
  <c r="N278" i="1"/>
  <c r="N279" i="1"/>
  <c r="N280" i="1"/>
  <c r="N281" i="1"/>
  <c r="N282" i="1"/>
  <c r="N283" i="1"/>
  <c r="N284" i="1"/>
  <c r="N285" i="1"/>
  <c r="N286" i="1"/>
  <c r="N287" i="1"/>
  <c r="N288" i="1"/>
  <c r="N289" i="1"/>
  <c r="N290" i="1"/>
  <c r="N291" i="1"/>
  <c r="N292" i="1"/>
  <c r="N293" i="1"/>
  <c r="N294" i="1"/>
  <c r="N295" i="1"/>
  <c r="N296" i="1"/>
  <c r="N297" i="1"/>
  <c r="N298" i="1"/>
  <c r="N299" i="1"/>
  <c r="N300" i="1"/>
  <c r="N301" i="1"/>
  <c r="N302" i="1"/>
  <c r="N303" i="1"/>
  <c r="N304" i="1"/>
  <c r="N305" i="1"/>
  <c r="N306" i="1"/>
  <c r="N307" i="1"/>
  <c r="N308" i="1"/>
  <c r="N309" i="1"/>
  <c r="N310" i="1"/>
  <c r="N311" i="1"/>
  <c r="N312" i="1"/>
  <c r="N313" i="1"/>
  <c r="N314" i="1"/>
  <c r="N315" i="1"/>
  <c r="N316" i="1"/>
  <c r="N317" i="1"/>
  <c r="N318" i="1"/>
  <c r="N319" i="1"/>
  <c r="N320" i="1"/>
  <c r="N321" i="1"/>
  <c r="N322" i="1"/>
  <c r="N323" i="1"/>
  <c r="N324" i="1"/>
  <c r="N325" i="1"/>
  <c r="N326" i="1"/>
  <c r="N327" i="1"/>
  <c r="N328" i="1"/>
  <c r="N329" i="1"/>
  <c r="N330" i="1"/>
  <c r="N331" i="1"/>
  <c r="N332" i="1"/>
  <c r="N333" i="1"/>
  <c r="N334" i="1"/>
  <c r="N335" i="1"/>
  <c r="N336" i="1"/>
  <c r="N337" i="1"/>
  <c r="N338" i="1"/>
  <c r="N339" i="1"/>
  <c r="N340" i="1"/>
  <c r="N341" i="1"/>
  <c r="N342" i="1"/>
  <c r="N343" i="1"/>
  <c r="N344" i="1"/>
  <c r="N345" i="1"/>
  <c r="N346" i="1"/>
  <c r="N347" i="1"/>
  <c r="N348" i="1"/>
  <c r="N349" i="1"/>
  <c r="N350" i="1"/>
  <c r="N351" i="1"/>
  <c r="N352" i="1"/>
  <c r="N353" i="1"/>
  <c r="N354" i="1"/>
  <c r="N355" i="1"/>
  <c r="N356" i="1"/>
  <c r="N357" i="1"/>
  <c r="N358" i="1"/>
  <c r="N359" i="1"/>
  <c r="N360" i="1"/>
  <c r="N361" i="1"/>
  <c r="N362" i="1"/>
  <c r="N363" i="1"/>
  <c r="N364" i="1"/>
  <c r="N365" i="1"/>
  <c r="N366" i="1"/>
  <c r="N367" i="1"/>
  <c r="N368" i="1"/>
  <c r="N369" i="1"/>
  <c r="N370" i="1"/>
  <c r="N371" i="1"/>
  <c r="N372" i="1"/>
  <c r="N373" i="1"/>
  <c r="N374" i="1"/>
  <c r="N375" i="1"/>
  <c r="N376" i="1"/>
  <c r="N377" i="1"/>
  <c r="N378" i="1"/>
  <c r="N379" i="1"/>
  <c r="N380" i="1"/>
  <c r="N381" i="1"/>
  <c r="N382" i="1"/>
  <c r="N383" i="1"/>
  <c r="N384" i="1"/>
  <c r="N385" i="1"/>
  <c r="N386" i="1"/>
  <c r="N387" i="1"/>
  <c r="N388" i="1"/>
  <c r="N389" i="1"/>
  <c r="N390" i="1"/>
  <c r="N391" i="1"/>
  <c r="N392" i="1"/>
  <c r="N393" i="1"/>
  <c r="N394" i="1"/>
  <c r="N395" i="1"/>
  <c r="N396" i="1"/>
  <c r="N397" i="1"/>
  <c r="N398" i="1"/>
  <c r="N399" i="1"/>
  <c r="N400" i="1"/>
  <c r="N401" i="1"/>
  <c r="N402" i="1"/>
  <c r="N403" i="1"/>
  <c r="N404" i="1"/>
  <c r="N405" i="1"/>
  <c r="N406" i="1"/>
  <c r="N407" i="1"/>
  <c r="N408" i="1"/>
  <c r="N409" i="1"/>
  <c r="N410" i="1"/>
  <c r="N411" i="1"/>
  <c r="N412" i="1"/>
  <c r="N413" i="1"/>
  <c r="N414" i="1"/>
  <c r="N415" i="1"/>
  <c r="N416" i="1"/>
  <c r="N417" i="1"/>
  <c r="N418" i="1"/>
  <c r="N419" i="1"/>
  <c r="N420" i="1"/>
  <c r="N421" i="1"/>
  <c r="N422" i="1"/>
  <c r="N423" i="1"/>
  <c r="N424" i="1"/>
  <c r="N425" i="1"/>
  <c r="N426" i="1"/>
  <c r="N427" i="1"/>
  <c r="N428" i="1"/>
  <c r="N429" i="1"/>
  <c r="N430" i="1"/>
  <c r="N431" i="1"/>
  <c r="N432" i="1"/>
  <c r="N433" i="1"/>
  <c r="N434" i="1"/>
  <c r="N435" i="1"/>
  <c r="N436" i="1"/>
  <c r="N437" i="1"/>
  <c r="N438" i="1"/>
  <c r="N439" i="1"/>
  <c r="N440" i="1"/>
  <c r="N441" i="1"/>
  <c r="N442" i="1"/>
  <c r="N443" i="1"/>
  <c r="N444" i="1"/>
  <c r="N445" i="1"/>
  <c r="N446" i="1"/>
  <c r="N447" i="1"/>
  <c r="N448" i="1"/>
  <c r="N449" i="1"/>
  <c r="N450" i="1"/>
  <c r="N451" i="1"/>
  <c r="N452" i="1"/>
  <c r="N453" i="1"/>
  <c r="N454" i="1"/>
  <c r="N455" i="1"/>
  <c r="N456" i="1"/>
  <c r="N457" i="1"/>
  <c r="N458" i="1"/>
  <c r="N459" i="1"/>
  <c r="N460" i="1"/>
  <c r="N461" i="1"/>
  <c r="N462" i="1"/>
  <c r="N463" i="1"/>
  <c r="N464" i="1"/>
  <c r="N465" i="1"/>
  <c r="N466" i="1"/>
  <c r="N467" i="1"/>
  <c r="N468" i="1"/>
  <c r="N469" i="1"/>
  <c r="N470" i="1"/>
  <c r="N471" i="1"/>
  <c r="N472" i="1"/>
  <c r="N473" i="1"/>
  <c r="N474" i="1"/>
  <c r="N475" i="1"/>
  <c r="N476" i="1"/>
  <c r="N477" i="1"/>
  <c r="N478" i="1"/>
  <c r="N479" i="1"/>
  <c r="N480" i="1"/>
  <c r="N481" i="1"/>
  <c r="N482" i="1"/>
  <c r="N483" i="1"/>
  <c r="N484" i="1"/>
  <c r="N485" i="1"/>
  <c r="N486" i="1"/>
  <c r="N487" i="1"/>
  <c r="N488" i="1"/>
  <c r="N489" i="1"/>
  <c r="N490" i="1"/>
  <c r="N491" i="1"/>
  <c r="N492" i="1"/>
  <c r="N493" i="1"/>
  <c r="N494" i="1"/>
  <c r="N495" i="1"/>
  <c r="N496" i="1"/>
  <c r="N497" i="1"/>
  <c r="N498" i="1"/>
  <c r="N499" i="1"/>
  <c r="N500" i="1"/>
  <c r="N501" i="1"/>
  <c r="M2" i="1" a="1"/>
  <c r="M2" i="1" s="1"/>
  <c r="I2" i="1"/>
  <c r="J2" i="1"/>
  <c r="K2" i="1"/>
  <c r="L2" i="1"/>
  <c r="L381" i="1"/>
  <c r="L382" i="1"/>
  <c r="L463" i="1"/>
  <c r="I11" i="1"/>
  <c r="J11" i="1"/>
  <c r="K11" i="1"/>
  <c r="L11" i="1"/>
  <c r="L3" i="1"/>
  <c r="L4" i="1"/>
  <c r="L5" i="1"/>
  <c r="L6" i="1"/>
  <c r="L7" i="1"/>
  <c r="L8" i="1"/>
  <c r="L9" i="1"/>
  <c r="L10" i="1"/>
  <c r="L12" i="1"/>
  <c r="L13" i="1"/>
  <c r="L14" i="1"/>
  <c r="L15" i="1"/>
  <c r="L16" i="1"/>
  <c r="L17" i="1"/>
  <c r="L18" i="1"/>
  <c r="L19" i="1"/>
  <c r="L20" i="1"/>
  <c r="L21" i="1"/>
  <c r="L22" i="1"/>
  <c r="L23" i="1"/>
  <c r="L24" i="1"/>
  <c r="L25" i="1"/>
  <c r="L26" i="1"/>
  <c r="L27" i="1"/>
  <c r="L28" i="1"/>
  <c r="L29" i="1"/>
  <c r="L30" i="1"/>
  <c r="L31" i="1"/>
  <c r="L32" i="1"/>
  <c r="L33" i="1"/>
  <c r="L34" i="1"/>
  <c r="L35" i="1"/>
  <c r="L36" i="1"/>
  <c r="L37" i="1"/>
  <c r="L38" i="1"/>
  <c r="L39" i="1"/>
  <c r="L40" i="1"/>
  <c r="L41" i="1"/>
  <c r="L42" i="1"/>
  <c r="L43" i="1"/>
  <c r="L44" i="1"/>
  <c r="L45" i="1"/>
  <c r="L46" i="1"/>
  <c r="L47" i="1"/>
  <c r="L48" i="1"/>
  <c r="L49" i="1"/>
  <c r="L50" i="1"/>
  <c r="L51" i="1"/>
  <c r="L52" i="1"/>
  <c r="L53" i="1"/>
  <c r="L54" i="1"/>
  <c r="L55" i="1"/>
  <c r="L56" i="1"/>
  <c r="L57" i="1"/>
  <c r="L58" i="1"/>
  <c r="L59" i="1"/>
  <c r="L60" i="1"/>
  <c r="L61" i="1"/>
  <c r="L62" i="1"/>
  <c r="L63" i="1"/>
  <c r="L64" i="1"/>
  <c r="L65" i="1"/>
  <c r="L66" i="1"/>
  <c r="L67" i="1"/>
  <c r="L68" i="1"/>
  <c r="L69" i="1"/>
  <c r="L70" i="1"/>
  <c r="L71" i="1"/>
  <c r="L72" i="1"/>
  <c r="L73" i="1"/>
  <c r="L74" i="1"/>
  <c r="L75" i="1"/>
  <c r="L76" i="1"/>
  <c r="L77" i="1"/>
  <c r="L78" i="1"/>
  <c r="L79" i="1"/>
  <c r="L80" i="1"/>
  <c r="L81" i="1"/>
  <c r="L82" i="1"/>
  <c r="L83" i="1"/>
  <c r="L84" i="1"/>
  <c r="L85" i="1"/>
  <c r="L86" i="1"/>
  <c r="L87" i="1"/>
  <c r="L88" i="1"/>
  <c r="L89" i="1"/>
  <c r="L90" i="1"/>
  <c r="L91" i="1"/>
  <c r="L92" i="1"/>
  <c r="L93" i="1"/>
  <c r="L94" i="1"/>
  <c r="L95" i="1"/>
  <c r="L96" i="1"/>
  <c r="L97" i="1"/>
  <c r="L98" i="1"/>
  <c r="L99" i="1"/>
  <c r="L100" i="1"/>
  <c r="L101" i="1"/>
  <c r="L102" i="1"/>
  <c r="L103" i="1"/>
  <c r="L104" i="1"/>
  <c r="L105" i="1"/>
  <c r="L106" i="1"/>
  <c r="L107" i="1"/>
  <c r="L108" i="1"/>
  <c r="L109" i="1"/>
  <c r="L110" i="1"/>
  <c r="L111" i="1"/>
  <c r="L112" i="1"/>
  <c r="L113" i="1"/>
  <c r="L114" i="1"/>
  <c r="L115" i="1"/>
  <c r="L116" i="1"/>
  <c r="L117" i="1"/>
  <c r="L118" i="1"/>
  <c r="L119" i="1"/>
  <c r="L120" i="1"/>
  <c r="L121" i="1"/>
  <c r="L122" i="1"/>
  <c r="L123" i="1"/>
  <c r="L124" i="1"/>
  <c r="L125" i="1"/>
  <c r="L126" i="1"/>
  <c r="L127" i="1"/>
  <c r="L128" i="1"/>
  <c r="L129" i="1"/>
  <c r="L130" i="1"/>
  <c r="L131" i="1"/>
  <c r="L132" i="1"/>
  <c r="L133" i="1"/>
  <c r="L134" i="1"/>
  <c r="L135" i="1"/>
  <c r="L136" i="1"/>
  <c r="L137" i="1"/>
  <c r="L138" i="1"/>
  <c r="L139" i="1"/>
  <c r="L140" i="1"/>
  <c r="L141" i="1"/>
  <c r="L142" i="1"/>
  <c r="L143" i="1"/>
  <c r="L144" i="1"/>
  <c r="L145" i="1"/>
  <c r="L146" i="1"/>
  <c r="L147" i="1"/>
  <c r="L148" i="1"/>
  <c r="L149" i="1"/>
  <c r="L150" i="1"/>
  <c r="L151" i="1"/>
  <c r="L152" i="1"/>
  <c r="L153" i="1"/>
  <c r="L154" i="1"/>
  <c r="L155" i="1"/>
  <c r="L156" i="1"/>
  <c r="L157" i="1"/>
  <c r="L158" i="1"/>
  <c r="L159" i="1"/>
  <c r="L160" i="1"/>
  <c r="L161" i="1"/>
  <c r="L162" i="1"/>
  <c r="L163" i="1"/>
  <c r="L164" i="1"/>
  <c r="L165" i="1"/>
  <c r="L166" i="1"/>
  <c r="L167" i="1"/>
  <c r="L168" i="1"/>
  <c r="L169" i="1"/>
  <c r="L170" i="1"/>
  <c r="L171" i="1"/>
  <c r="L172" i="1"/>
  <c r="L173" i="1"/>
  <c r="L174" i="1"/>
  <c r="L175" i="1"/>
  <c r="L176" i="1"/>
  <c r="L177" i="1"/>
  <c r="L178" i="1"/>
  <c r="L179" i="1"/>
  <c r="L180" i="1"/>
  <c r="L181" i="1"/>
  <c r="L182" i="1"/>
  <c r="L183" i="1"/>
  <c r="L184" i="1"/>
  <c r="L185" i="1"/>
  <c r="L186" i="1"/>
  <c r="L187" i="1"/>
  <c r="L188" i="1"/>
  <c r="L189" i="1"/>
  <c r="L190" i="1"/>
  <c r="L191" i="1"/>
  <c r="L192" i="1"/>
  <c r="L193" i="1"/>
  <c r="L194" i="1"/>
  <c r="L195" i="1"/>
  <c r="L196" i="1"/>
  <c r="L197" i="1"/>
  <c r="L198" i="1"/>
  <c r="L199" i="1"/>
  <c r="L200" i="1"/>
  <c r="L201" i="1"/>
  <c r="L202" i="1"/>
  <c r="L203" i="1"/>
  <c r="L204" i="1"/>
  <c r="L205" i="1"/>
  <c r="L206" i="1"/>
  <c r="L207" i="1"/>
  <c r="L208" i="1"/>
  <c r="L209" i="1"/>
  <c r="L210" i="1"/>
  <c r="L211" i="1"/>
  <c r="L212" i="1"/>
  <c r="L213" i="1"/>
  <c r="L214" i="1"/>
  <c r="L215" i="1"/>
  <c r="L216" i="1"/>
  <c r="L217" i="1"/>
  <c r="L218" i="1"/>
  <c r="L219" i="1"/>
  <c r="L220" i="1"/>
  <c r="L221" i="1"/>
  <c r="L222" i="1"/>
  <c r="L223" i="1"/>
  <c r="L224" i="1"/>
  <c r="L225" i="1"/>
  <c r="L226" i="1"/>
  <c r="L227" i="1"/>
  <c r="L228" i="1"/>
  <c r="L229" i="1"/>
  <c r="L230" i="1"/>
  <c r="L231" i="1"/>
  <c r="L232" i="1"/>
  <c r="L233" i="1"/>
  <c r="L234" i="1"/>
  <c r="L235" i="1"/>
  <c r="L236" i="1"/>
  <c r="L237" i="1"/>
  <c r="L238" i="1"/>
  <c r="L239" i="1"/>
  <c r="L240" i="1"/>
  <c r="L241" i="1"/>
  <c r="L242" i="1"/>
  <c r="L243" i="1"/>
  <c r="L244" i="1"/>
  <c r="L245" i="1"/>
  <c r="L246" i="1"/>
  <c r="L247" i="1"/>
  <c r="L248" i="1"/>
  <c r="L249" i="1"/>
  <c r="L250" i="1"/>
  <c r="L251" i="1"/>
  <c r="L252" i="1"/>
  <c r="L253" i="1"/>
  <c r="L254" i="1"/>
  <c r="L255" i="1"/>
  <c r="L256" i="1"/>
  <c r="L257" i="1"/>
  <c r="L258" i="1"/>
  <c r="L259" i="1"/>
  <c r="L260" i="1"/>
  <c r="L261" i="1"/>
  <c r="L262" i="1"/>
  <c r="L263" i="1"/>
  <c r="L264" i="1"/>
  <c r="L265" i="1"/>
  <c r="L266" i="1"/>
  <c r="L267" i="1"/>
  <c r="L268" i="1"/>
  <c r="L269" i="1"/>
  <c r="L270" i="1"/>
  <c r="L271" i="1"/>
  <c r="L272" i="1"/>
  <c r="L273" i="1"/>
  <c r="L274" i="1"/>
  <c r="L275" i="1"/>
  <c r="L276" i="1"/>
  <c r="L277" i="1"/>
  <c r="L278" i="1"/>
  <c r="L279" i="1"/>
  <c r="L280" i="1"/>
  <c r="L281" i="1"/>
  <c r="L282" i="1"/>
  <c r="L283" i="1"/>
  <c r="L284" i="1"/>
  <c r="L285" i="1"/>
  <c r="L286" i="1"/>
  <c r="L287" i="1"/>
  <c r="L288" i="1"/>
  <c r="L289" i="1"/>
  <c r="L290" i="1"/>
  <c r="L291" i="1"/>
  <c r="L292" i="1"/>
  <c r="L293" i="1"/>
  <c r="L294" i="1"/>
  <c r="L295" i="1"/>
  <c r="L296" i="1"/>
  <c r="L297" i="1"/>
  <c r="L298" i="1"/>
  <c r="L299" i="1"/>
  <c r="L300" i="1"/>
  <c r="L301" i="1"/>
  <c r="L302" i="1"/>
  <c r="L303" i="1"/>
  <c r="L304" i="1"/>
  <c r="L305" i="1"/>
  <c r="L306" i="1"/>
  <c r="L307" i="1"/>
  <c r="L308" i="1"/>
  <c r="L309" i="1"/>
  <c r="L310" i="1"/>
  <c r="L311" i="1"/>
  <c r="L312" i="1"/>
  <c r="L313" i="1"/>
  <c r="L314" i="1"/>
  <c r="L315" i="1"/>
  <c r="L316" i="1"/>
  <c r="L317" i="1"/>
  <c r="L318" i="1"/>
  <c r="L319" i="1"/>
  <c r="L320" i="1"/>
  <c r="L321" i="1"/>
  <c r="L322" i="1"/>
  <c r="L323" i="1"/>
  <c r="L324" i="1"/>
  <c r="L325" i="1"/>
  <c r="L326" i="1"/>
  <c r="L327" i="1"/>
  <c r="L328" i="1"/>
  <c r="L329" i="1"/>
  <c r="L330" i="1"/>
  <c r="L331" i="1"/>
  <c r="L332" i="1"/>
  <c r="L333" i="1"/>
  <c r="L334" i="1"/>
  <c r="L335" i="1"/>
  <c r="L336" i="1"/>
  <c r="L337" i="1"/>
  <c r="L338" i="1"/>
  <c r="L339" i="1"/>
  <c r="L340" i="1"/>
  <c r="L341" i="1"/>
  <c r="L342" i="1"/>
  <c r="L343" i="1"/>
  <c r="L344" i="1"/>
  <c r="L345" i="1"/>
  <c r="L346" i="1"/>
  <c r="L347" i="1"/>
  <c r="L348" i="1"/>
  <c r="L349" i="1"/>
  <c r="L350" i="1"/>
  <c r="L351" i="1"/>
  <c r="L352" i="1"/>
  <c r="L353" i="1"/>
  <c r="L354" i="1"/>
  <c r="L355" i="1"/>
  <c r="L356" i="1"/>
  <c r="L357" i="1"/>
  <c r="L358" i="1"/>
  <c r="L359" i="1"/>
  <c r="L360" i="1"/>
  <c r="L361" i="1"/>
  <c r="L362" i="1"/>
  <c r="L363" i="1"/>
  <c r="L364" i="1"/>
  <c r="L365" i="1"/>
  <c r="L366" i="1"/>
  <c r="L367" i="1"/>
  <c r="L368" i="1"/>
  <c r="L369" i="1"/>
  <c r="L370" i="1"/>
  <c r="L371" i="1"/>
  <c r="L372" i="1"/>
  <c r="L373" i="1"/>
  <c r="L374" i="1"/>
  <c r="L375" i="1"/>
  <c r="L376" i="1"/>
  <c r="L377" i="1"/>
  <c r="L378" i="1"/>
  <c r="L379" i="1"/>
  <c r="L380" i="1"/>
  <c r="L383" i="1"/>
  <c r="L384" i="1"/>
  <c r="L385" i="1"/>
  <c r="L386" i="1"/>
  <c r="L387" i="1"/>
  <c r="L388" i="1"/>
  <c r="L389" i="1"/>
  <c r="L390" i="1"/>
  <c r="L391" i="1"/>
  <c r="L392" i="1"/>
  <c r="L393" i="1"/>
  <c r="L394" i="1"/>
  <c r="L395" i="1"/>
  <c r="L396" i="1"/>
  <c r="L397" i="1"/>
  <c r="L398" i="1"/>
  <c r="L399" i="1"/>
  <c r="L400" i="1"/>
  <c r="L401" i="1"/>
  <c r="L402" i="1"/>
  <c r="L403" i="1"/>
  <c r="L404" i="1"/>
  <c r="L405" i="1"/>
  <c r="L406" i="1"/>
  <c r="L407" i="1"/>
  <c r="L408" i="1"/>
  <c r="L409" i="1"/>
  <c r="L410" i="1"/>
  <c r="L411" i="1"/>
  <c r="L412" i="1"/>
  <c r="L413" i="1"/>
  <c r="L414" i="1"/>
  <c r="L415" i="1"/>
  <c r="L416" i="1"/>
  <c r="L417" i="1"/>
  <c r="L418" i="1"/>
  <c r="L419" i="1"/>
  <c r="L420" i="1"/>
  <c r="L421" i="1"/>
  <c r="L422" i="1"/>
  <c r="L423" i="1"/>
  <c r="L424" i="1"/>
  <c r="L425" i="1"/>
  <c r="L426" i="1"/>
  <c r="L427" i="1"/>
  <c r="L428" i="1"/>
  <c r="L429" i="1"/>
  <c r="L430" i="1"/>
  <c r="L431" i="1"/>
  <c r="L432" i="1"/>
  <c r="L433" i="1"/>
  <c r="L434" i="1"/>
  <c r="L435" i="1"/>
  <c r="L436" i="1"/>
  <c r="L437" i="1"/>
  <c r="L438" i="1"/>
  <c r="L439" i="1"/>
  <c r="L440" i="1"/>
  <c r="L441" i="1"/>
  <c r="L442" i="1"/>
  <c r="L443" i="1"/>
  <c r="L444" i="1"/>
  <c r="L445" i="1"/>
  <c r="L446" i="1"/>
  <c r="L447" i="1"/>
  <c r="L448" i="1"/>
  <c r="L449" i="1"/>
  <c r="L450" i="1"/>
  <c r="L451" i="1"/>
  <c r="L452" i="1"/>
  <c r="L453" i="1"/>
  <c r="L454" i="1"/>
  <c r="L455" i="1"/>
  <c r="L456" i="1"/>
  <c r="L457" i="1"/>
  <c r="L458" i="1"/>
  <c r="L459" i="1"/>
  <c r="L460" i="1"/>
  <c r="L461" i="1"/>
  <c r="L462" i="1"/>
  <c r="L464" i="1"/>
  <c r="L465" i="1"/>
  <c r="L466" i="1"/>
  <c r="L467" i="1"/>
  <c r="L468" i="1"/>
  <c r="L469" i="1"/>
  <c r="L470" i="1"/>
  <c r="L471" i="1"/>
  <c r="L472" i="1"/>
  <c r="L473" i="1"/>
  <c r="L474" i="1"/>
  <c r="L475" i="1"/>
  <c r="L476" i="1"/>
  <c r="L477" i="1"/>
  <c r="L478" i="1"/>
  <c r="L479" i="1"/>
  <c r="L480" i="1"/>
  <c r="L481" i="1"/>
  <c r="L482" i="1"/>
  <c r="L483" i="1"/>
  <c r="L484" i="1"/>
  <c r="L485" i="1"/>
  <c r="L486" i="1"/>
  <c r="L487" i="1"/>
  <c r="L488" i="1"/>
  <c r="L489" i="1"/>
  <c r="L490" i="1"/>
  <c r="L491" i="1"/>
  <c r="L492" i="1"/>
  <c r="L493" i="1"/>
  <c r="L494" i="1"/>
  <c r="L495" i="1"/>
  <c r="L496" i="1"/>
  <c r="L497" i="1"/>
  <c r="L498" i="1"/>
  <c r="L499" i="1"/>
  <c r="L500" i="1"/>
  <c r="L501" i="1"/>
  <c r="K4" i="1"/>
  <c r="K7" i="1"/>
  <c r="J6" i="1"/>
  <c r="I6" i="1"/>
  <c r="I3" i="1"/>
  <c r="I4" i="1"/>
  <c r="I5" i="1"/>
  <c r="I7" i="1"/>
  <c r="I8" i="1"/>
  <c r="I9" i="1"/>
  <c r="I10" i="1"/>
  <c r="I12" i="1"/>
  <c r="I13" i="1"/>
  <c r="I14" i="1"/>
  <c r="I15" i="1"/>
  <c r="I16" i="1"/>
  <c r="I17" i="1"/>
  <c r="I18" i="1"/>
  <c r="I19" i="1"/>
  <c r="I20" i="1"/>
  <c r="I21" i="1"/>
  <c r="I22" i="1"/>
  <c r="I23" i="1"/>
  <c r="I24" i="1"/>
  <c r="I25" i="1"/>
  <c r="I26" i="1"/>
  <c r="I27" i="1"/>
  <c r="I28" i="1"/>
  <c r="I29" i="1"/>
  <c r="I30" i="1"/>
  <c r="I31" i="1"/>
  <c r="I32" i="1"/>
  <c r="I33" i="1"/>
  <c r="I34" i="1"/>
  <c r="I35" i="1"/>
  <c r="I36" i="1"/>
  <c r="I37" i="1"/>
  <c r="I38" i="1"/>
  <c r="I39" i="1"/>
  <c r="I40" i="1"/>
  <c r="I41" i="1"/>
  <c r="I42" i="1"/>
  <c r="I43" i="1"/>
  <c r="I44" i="1"/>
  <c r="I45" i="1"/>
  <c r="I46" i="1"/>
  <c r="I47" i="1"/>
  <c r="I48" i="1"/>
  <c r="I49" i="1"/>
  <c r="I50" i="1"/>
  <c r="I51" i="1"/>
  <c r="I52" i="1"/>
  <c r="I53" i="1"/>
  <c r="I54" i="1"/>
  <c r="I55" i="1"/>
  <c r="I56" i="1"/>
  <c r="I57" i="1"/>
  <c r="I58" i="1"/>
  <c r="I59" i="1"/>
  <c r="I60" i="1"/>
  <c r="I61" i="1"/>
  <c r="I62" i="1"/>
  <c r="I63" i="1"/>
  <c r="I64" i="1"/>
  <c r="I65" i="1"/>
  <c r="I66" i="1"/>
  <c r="I67" i="1"/>
  <c r="I68" i="1"/>
  <c r="I69" i="1"/>
  <c r="I70" i="1"/>
  <c r="I71" i="1"/>
  <c r="I72" i="1"/>
  <c r="I73" i="1"/>
  <c r="I74" i="1"/>
  <c r="I75" i="1"/>
  <c r="I76" i="1"/>
  <c r="I77" i="1"/>
  <c r="I78" i="1"/>
  <c r="I79" i="1"/>
  <c r="I80" i="1"/>
  <c r="I81" i="1"/>
  <c r="I82" i="1"/>
  <c r="I83" i="1"/>
  <c r="I84" i="1"/>
  <c r="I85" i="1"/>
  <c r="I86" i="1"/>
  <c r="I87" i="1"/>
  <c r="I88" i="1"/>
  <c r="I89" i="1"/>
  <c r="I90" i="1"/>
  <c r="I91" i="1"/>
  <c r="I92" i="1"/>
  <c r="I93" i="1"/>
  <c r="I94" i="1"/>
  <c r="I95" i="1"/>
  <c r="I96" i="1"/>
  <c r="I97" i="1"/>
  <c r="I98" i="1"/>
  <c r="I99" i="1"/>
  <c r="I100" i="1"/>
  <c r="I101" i="1"/>
  <c r="I102" i="1"/>
  <c r="I103" i="1"/>
  <c r="I104" i="1"/>
  <c r="I105" i="1"/>
  <c r="I106" i="1"/>
  <c r="I107" i="1"/>
  <c r="I108" i="1"/>
  <c r="I109" i="1"/>
  <c r="I110" i="1"/>
  <c r="I111" i="1"/>
  <c r="I112" i="1"/>
  <c r="I113" i="1"/>
  <c r="I114" i="1"/>
  <c r="I115" i="1"/>
  <c r="I116" i="1"/>
  <c r="I117" i="1"/>
  <c r="I118" i="1"/>
  <c r="I119" i="1"/>
  <c r="I120" i="1"/>
  <c r="I121" i="1"/>
  <c r="I122" i="1"/>
  <c r="I123" i="1"/>
  <c r="I124" i="1"/>
  <c r="I125" i="1"/>
  <c r="I126" i="1"/>
  <c r="I127" i="1"/>
  <c r="I128" i="1"/>
  <c r="I129" i="1"/>
  <c r="I130" i="1"/>
  <c r="I131" i="1"/>
  <c r="I132" i="1"/>
  <c r="I133" i="1"/>
  <c r="I134" i="1"/>
  <c r="I135" i="1"/>
  <c r="I136" i="1"/>
  <c r="I137" i="1"/>
  <c r="I138" i="1"/>
  <c r="I139" i="1"/>
  <c r="I140" i="1"/>
  <c r="I141" i="1"/>
  <c r="I142" i="1"/>
  <c r="I143" i="1"/>
  <c r="I144" i="1"/>
  <c r="I145" i="1"/>
  <c r="I146" i="1"/>
  <c r="I147" i="1"/>
  <c r="I148" i="1"/>
  <c r="I149" i="1"/>
  <c r="I150" i="1"/>
  <c r="I151" i="1"/>
  <c r="I152" i="1"/>
  <c r="I153" i="1"/>
  <c r="I154" i="1"/>
  <c r="I155" i="1"/>
  <c r="I156" i="1"/>
  <c r="I157" i="1"/>
  <c r="I158" i="1"/>
  <c r="I159" i="1"/>
  <c r="I160" i="1"/>
  <c r="I161" i="1"/>
  <c r="I162" i="1"/>
  <c r="I163" i="1"/>
  <c r="I164" i="1"/>
  <c r="I165" i="1"/>
  <c r="I166" i="1"/>
  <c r="I167" i="1"/>
  <c r="I168" i="1"/>
  <c r="I169" i="1"/>
  <c r="I170" i="1"/>
  <c r="I171" i="1"/>
  <c r="I172" i="1"/>
  <c r="I173" i="1"/>
  <c r="I174" i="1"/>
  <c r="I175" i="1"/>
  <c r="I176" i="1"/>
  <c r="I177" i="1"/>
  <c r="I178" i="1"/>
  <c r="I179" i="1"/>
  <c r="I180" i="1"/>
  <c r="I181" i="1"/>
  <c r="I182" i="1"/>
  <c r="I183" i="1"/>
  <c r="I184" i="1"/>
  <c r="I185" i="1"/>
  <c r="I186" i="1"/>
  <c r="I187" i="1"/>
  <c r="I188" i="1"/>
  <c r="I189" i="1"/>
  <c r="I190" i="1"/>
  <c r="I191" i="1"/>
  <c r="I192" i="1"/>
  <c r="I193" i="1"/>
  <c r="I194" i="1"/>
  <c r="I195" i="1"/>
  <c r="I196" i="1"/>
  <c r="I197" i="1"/>
  <c r="I198" i="1"/>
  <c r="I199" i="1"/>
  <c r="I200" i="1"/>
  <c r="I201" i="1"/>
  <c r="I202" i="1"/>
  <c r="I203" i="1"/>
  <c r="I204" i="1"/>
  <c r="I205" i="1"/>
  <c r="I206" i="1"/>
  <c r="I207" i="1"/>
  <c r="I208" i="1"/>
  <c r="I209" i="1"/>
  <c r="I210" i="1"/>
  <c r="I211" i="1"/>
  <c r="I212" i="1"/>
  <c r="I213" i="1"/>
  <c r="I214" i="1"/>
  <c r="I215" i="1"/>
  <c r="I216" i="1"/>
  <c r="I217" i="1"/>
  <c r="I218" i="1"/>
  <c r="I219" i="1"/>
  <c r="I220" i="1"/>
  <c r="I221" i="1"/>
  <c r="I222" i="1"/>
  <c r="I223" i="1"/>
  <c r="I224" i="1"/>
  <c r="I225" i="1"/>
  <c r="I226" i="1"/>
  <c r="I227" i="1"/>
  <c r="I228" i="1"/>
  <c r="I229" i="1"/>
  <c r="I230" i="1"/>
  <c r="I231" i="1"/>
  <c r="I232" i="1"/>
  <c r="I233" i="1"/>
  <c r="I234" i="1"/>
  <c r="I235" i="1"/>
  <c r="I236" i="1"/>
  <c r="I237" i="1"/>
  <c r="I238" i="1"/>
  <c r="I239" i="1"/>
  <c r="I240" i="1"/>
  <c r="I241" i="1"/>
  <c r="I242" i="1"/>
  <c r="I243" i="1"/>
  <c r="I244" i="1"/>
  <c r="I245" i="1"/>
  <c r="I246" i="1"/>
  <c r="I247" i="1"/>
  <c r="I248" i="1"/>
  <c r="I249" i="1"/>
  <c r="I250" i="1"/>
  <c r="I251" i="1"/>
  <c r="I252" i="1"/>
  <c r="I253" i="1"/>
  <c r="I254" i="1"/>
  <c r="I255" i="1"/>
  <c r="I256" i="1"/>
  <c r="I257" i="1"/>
  <c r="I258" i="1"/>
  <c r="I259" i="1"/>
  <c r="I260" i="1"/>
  <c r="I261" i="1"/>
  <c r="I262" i="1"/>
  <c r="I263" i="1"/>
  <c r="I264" i="1"/>
  <c r="I265" i="1"/>
  <c r="I266" i="1"/>
  <c r="I267" i="1"/>
  <c r="I268" i="1"/>
  <c r="I269" i="1"/>
  <c r="I270" i="1"/>
  <c r="I271" i="1"/>
  <c r="I272" i="1"/>
  <c r="I273" i="1"/>
  <c r="I274" i="1"/>
  <c r="I275" i="1"/>
  <c r="I276" i="1"/>
  <c r="I277" i="1"/>
  <c r="I278" i="1"/>
  <c r="I279" i="1"/>
  <c r="I280" i="1"/>
  <c r="I281" i="1"/>
  <c r="I282" i="1"/>
  <c r="I283" i="1"/>
  <c r="I284" i="1"/>
  <c r="I285" i="1"/>
  <c r="I286" i="1"/>
  <c r="I287" i="1"/>
  <c r="I288" i="1"/>
  <c r="I289" i="1"/>
  <c r="I290" i="1"/>
  <c r="I291" i="1"/>
  <c r="I292" i="1"/>
  <c r="I293" i="1"/>
  <c r="I294" i="1"/>
  <c r="I295" i="1"/>
  <c r="I296" i="1"/>
  <c r="I297" i="1"/>
  <c r="I298" i="1"/>
  <c r="I299" i="1"/>
  <c r="I300" i="1"/>
  <c r="I301" i="1"/>
  <c r="I302" i="1"/>
  <c r="I303" i="1"/>
  <c r="I304" i="1"/>
  <c r="I305" i="1"/>
  <c r="I306" i="1"/>
  <c r="I307" i="1"/>
  <c r="I308" i="1"/>
  <c r="I309" i="1"/>
  <c r="I310" i="1"/>
  <c r="I311" i="1"/>
  <c r="I312" i="1"/>
  <c r="I313" i="1"/>
  <c r="I314" i="1"/>
  <c r="I315" i="1"/>
  <c r="I316" i="1"/>
  <c r="I317" i="1"/>
  <c r="I318" i="1"/>
  <c r="I319" i="1"/>
  <c r="I320" i="1"/>
  <c r="I321" i="1"/>
  <c r="I322" i="1"/>
  <c r="I323" i="1"/>
  <c r="I324" i="1"/>
  <c r="I325" i="1"/>
  <c r="I326" i="1"/>
  <c r="I327" i="1"/>
  <c r="I328" i="1"/>
  <c r="I329" i="1"/>
  <c r="I330" i="1"/>
  <c r="I331" i="1"/>
  <c r="I332" i="1"/>
  <c r="I333" i="1"/>
  <c r="I334" i="1"/>
  <c r="I335" i="1"/>
  <c r="I336" i="1"/>
  <c r="I337" i="1"/>
  <c r="I338" i="1"/>
  <c r="I339" i="1"/>
  <c r="I340" i="1"/>
  <c r="I341" i="1"/>
  <c r="I342" i="1"/>
  <c r="I343" i="1"/>
  <c r="I344" i="1"/>
  <c r="I345" i="1"/>
  <c r="I346" i="1"/>
  <c r="I347" i="1"/>
  <c r="I348" i="1"/>
  <c r="I349" i="1"/>
  <c r="I350" i="1"/>
  <c r="I351" i="1"/>
  <c r="I352" i="1"/>
  <c r="I353" i="1"/>
  <c r="I354" i="1"/>
  <c r="I355" i="1"/>
  <c r="I356" i="1"/>
  <c r="I357" i="1"/>
  <c r="I358" i="1"/>
  <c r="I359" i="1"/>
  <c r="I360" i="1"/>
  <c r="I361" i="1"/>
  <c r="I362" i="1"/>
  <c r="I363" i="1"/>
  <c r="I364" i="1"/>
  <c r="I365" i="1"/>
  <c r="I366" i="1"/>
  <c r="I367" i="1"/>
  <c r="I368" i="1"/>
  <c r="I369" i="1"/>
  <c r="I370" i="1"/>
  <c r="I371" i="1"/>
  <c r="I372" i="1"/>
  <c r="I373" i="1"/>
  <c r="I374" i="1"/>
  <c r="I375" i="1"/>
  <c r="I376" i="1"/>
  <c r="I377" i="1"/>
  <c r="I378" i="1"/>
  <c r="I379" i="1"/>
  <c r="I380" i="1"/>
  <c r="I381" i="1"/>
  <c r="I382" i="1"/>
  <c r="I383" i="1"/>
  <c r="I384" i="1"/>
  <c r="I385" i="1"/>
  <c r="I386" i="1"/>
  <c r="I387" i="1"/>
  <c r="I388" i="1"/>
  <c r="I389" i="1"/>
  <c r="I390" i="1"/>
  <c r="I391" i="1"/>
  <c r="I392" i="1"/>
  <c r="I393" i="1"/>
  <c r="I394" i="1"/>
  <c r="I395" i="1"/>
  <c r="I396" i="1"/>
  <c r="I397" i="1"/>
  <c r="I398" i="1"/>
  <c r="I399" i="1"/>
  <c r="I400" i="1"/>
  <c r="I401" i="1"/>
  <c r="I402" i="1"/>
  <c r="I403" i="1"/>
  <c r="I404" i="1"/>
  <c r="I405" i="1"/>
  <c r="I406" i="1"/>
  <c r="I407" i="1"/>
  <c r="I408" i="1"/>
  <c r="I409" i="1"/>
  <c r="I410" i="1"/>
  <c r="I411" i="1"/>
  <c r="I412" i="1"/>
  <c r="I413" i="1"/>
  <c r="I414" i="1"/>
  <c r="I415" i="1"/>
  <c r="I416" i="1"/>
  <c r="I417" i="1"/>
  <c r="I418" i="1"/>
  <c r="I419" i="1"/>
  <c r="I420" i="1"/>
  <c r="I421" i="1"/>
  <c r="I422" i="1"/>
  <c r="I423" i="1"/>
  <c r="I424" i="1"/>
  <c r="I425" i="1"/>
  <c r="I426" i="1"/>
  <c r="I427" i="1"/>
  <c r="I428" i="1"/>
  <c r="I429" i="1"/>
  <c r="I430" i="1"/>
  <c r="I431" i="1"/>
  <c r="I432" i="1"/>
  <c r="I433" i="1"/>
  <c r="I434" i="1"/>
  <c r="I435" i="1"/>
  <c r="I436" i="1"/>
  <c r="I437" i="1"/>
  <c r="I438" i="1"/>
  <c r="I439" i="1"/>
  <c r="I440" i="1"/>
  <c r="I441" i="1"/>
  <c r="I442" i="1"/>
  <c r="I443" i="1"/>
  <c r="I444" i="1"/>
  <c r="I445" i="1"/>
  <c r="I446" i="1"/>
  <c r="I447" i="1"/>
  <c r="I448" i="1"/>
  <c r="I449" i="1"/>
  <c r="I450" i="1"/>
  <c r="I451" i="1"/>
  <c r="I452" i="1"/>
  <c r="I453" i="1"/>
  <c r="I454" i="1"/>
  <c r="I455" i="1"/>
  <c r="I456" i="1"/>
  <c r="I457" i="1"/>
  <c r="I458" i="1"/>
  <c r="I459" i="1"/>
  <c r="I460" i="1"/>
  <c r="I461" i="1"/>
  <c r="I462" i="1"/>
  <c r="I463" i="1"/>
  <c r="I464" i="1"/>
  <c r="I465" i="1"/>
  <c r="I466" i="1"/>
  <c r="I467" i="1"/>
  <c r="I468" i="1"/>
  <c r="I469" i="1"/>
  <c r="I470" i="1"/>
  <c r="I471" i="1"/>
  <c r="I472" i="1"/>
  <c r="I473" i="1"/>
  <c r="I474" i="1"/>
  <c r="I475" i="1"/>
  <c r="I476" i="1"/>
  <c r="I477" i="1"/>
  <c r="I478" i="1"/>
  <c r="I479" i="1"/>
  <c r="I480" i="1"/>
  <c r="I481" i="1"/>
  <c r="I482" i="1"/>
  <c r="I483" i="1"/>
  <c r="I484" i="1"/>
  <c r="I485" i="1"/>
  <c r="I486" i="1"/>
  <c r="I487" i="1"/>
  <c r="I488" i="1"/>
  <c r="I489" i="1"/>
  <c r="I490" i="1"/>
  <c r="I491" i="1"/>
  <c r="I492" i="1"/>
  <c r="I493" i="1"/>
  <c r="I494" i="1"/>
  <c r="I495" i="1"/>
  <c r="I496" i="1"/>
  <c r="I497" i="1"/>
  <c r="I498" i="1"/>
  <c r="I499" i="1"/>
  <c r="I500" i="1"/>
  <c r="I501" i="1"/>
  <c r="F6" i="8"/>
  <c r="F5" i="8"/>
  <c r="F4" i="8"/>
  <c r="I4" i="5"/>
  <c r="J4" i="5"/>
  <c r="K4" i="5"/>
  <c r="K7" i="5"/>
  <c r="K6" i="5"/>
  <c r="K5" i="5"/>
  <c r="J7" i="5"/>
  <c r="J6" i="5"/>
  <c r="J5" i="5"/>
  <c r="J3" i="1" l="1"/>
  <c r="J4" i="1"/>
  <c r="J5" i="1"/>
  <c r="J7" i="1"/>
  <c r="J8" i="1"/>
  <c r="J9" i="1"/>
  <c r="J10" i="1"/>
  <c r="J12" i="1"/>
  <c r="J13" i="1"/>
  <c r="J14" i="1"/>
  <c r="J15" i="1"/>
  <c r="J16" i="1"/>
  <c r="J17" i="1"/>
  <c r="J18" i="1"/>
  <c r="J19" i="1"/>
  <c r="J20" i="1"/>
  <c r="J21" i="1"/>
  <c r="J22" i="1"/>
  <c r="J23" i="1"/>
  <c r="J24" i="1"/>
  <c r="J25" i="1"/>
  <c r="J26" i="1"/>
  <c r="J27" i="1"/>
  <c r="J28" i="1"/>
  <c r="J29" i="1"/>
  <c r="J30" i="1"/>
  <c r="J31" i="1"/>
  <c r="J32" i="1"/>
  <c r="J33" i="1"/>
  <c r="J34" i="1"/>
  <c r="J35" i="1"/>
  <c r="J36" i="1"/>
  <c r="J37" i="1"/>
  <c r="J38" i="1"/>
  <c r="J39" i="1"/>
  <c r="J40" i="1"/>
  <c r="J41" i="1"/>
  <c r="J42" i="1"/>
  <c r="J43" i="1"/>
  <c r="J44" i="1"/>
  <c r="J45" i="1"/>
  <c r="J46" i="1"/>
  <c r="J47" i="1"/>
  <c r="J48" i="1"/>
  <c r="J49" i="1"/>
  <c r="J50" i="1"/>
  <c r="J51" i="1"/>
  <c r="J52" i="1"/>
  <c r="J53" i="1"/>
  <c r="J54" i="1"/>
  <c r="J55" i="1"/>
  <c r="J56" i="1"/>
  <c r="J57" i="1"/>
  <c r="J58" i="1"/>
  <c r="J59" i="1"/>
  <c r="J60" i="1"/>
  <c r="J61" i="1"/>
  <c r="J62" i="1"/>
  <c r="J63" i="1"/>
  <c r="J64" i="1"/>
  <c r="J65" i="1"/>
  <c r="J66" i="1"/>
  <c r="J67" i="1"/>
  <c r="J68" i="1"/>
  <c r="J69" i="1"/>
  <c r="J70" i="1"/>
  <c r="J71" i="1"/>
  <c r="J72" i="1"/>
  <c r="J73" i="1"/>
  <c r="J74" i="1"/>
  <c r="J75" i="1"/>
  <c r="J76" i="1"/>
  <c r="J77" i="1"/>
  <c r="J78" i="1"/>
  <c r="J79" i="1"/>
  <c r="J80" i="1"/>
  <c r="J81" i="1"/>
  <c r="J82" i="1"/>
  <c r="J83" i="1"/>
  <c r="J84" i="1"/>
  <c r="J85" i="1"/>
  <c r="J86" i="1"/>
  <c r="J87" i="1"/>
  <c r="J88" i="1"/>
  <c r="J89" i="1"/>
  <c r="J90" i="1"/>
  <c r="J91" i="1"/>
  <c r="J92" i="1"/>
  <c r="J93" i="1"/>
  <c r="J94" i="1"/>
  <c r="J95" i="1"/>
  <c r="J96" i="1"/>
  <c r="J97" i="1"/>
  <c r="J98" i="1"/>
  <c r="J99" i="1"/>
  <c r="J100" i="1"/>
  <c r="J101" i="1"/>
  <c r="J102" i="1"/>
  <c r="J103" i="1"/>
  <c r="J104" i="1"/>
  <c r="J105" i="1"/>
  <c r="J106" i="1"/>
  <c r="J107" i="1"/>
  <c r="J108" i="1"/>
  <c r="J109" i="1"/>
  <c r="J110" i="1"/>
  <c r="J111" i="1"/>
  <c r="J112" i="1"/>
  <c r="J113" i="1"/>
  <c r="J114" i="1"/>
  <c r="J115" i="1"/>
  <c r="J116" i="1"/>
  <c r="J117" i="1"/>
  <c r="J118" i="1"/>
  <c r="J119" i="1"/>
  <c r="J120" i="1"/>
  <c r="J121" i="1"/>
  <c r="J122" i="1"/>
  <c r="J123" i="1"/>
  <c r="J124" i="1"/>
  <c r="J125" i="1"/>
  <c r="J126" i="1"/>
  <c r="J127" i="1"/>
  <c r="J128" i="1"/>
  <c r="J129" i="1"/>
  <c r="J130" i="1"/>
  <c r="J131" i="1"/>
  <c r="J132" i="1"/>
  <c r="J133" i="1"/>
  <c r="J134" i="1"/>
  <c r="J135" i="1"/>
  <c r="J136" i="1"/>
  <c r="J137" i="1"/>
  <c r="J138" i="1"/>
  <c r="J139" i="1"/>
  <c r="J140" i="1"/>
  <c r="J141" i="1"/>
  <c r="J142" i="1"/>
  <c r="J143" i="1"/>
  <c r="J144" i="1"/>
  <c r="J145" i="1"/>
  <c r="J146" i="1"/>
  <c r="J147" i="1"/>
  <c r="J148" i="1"/>
  <c r="J149" i="1"/>
  <c r="J150" i="1"/>
  <c r="J151" i="1"/>
  <c r="J152" i="1"/>
  <c r="J153" i="1"/>
  <c r="J154" i="1"/>
  <c r="J155" i="1"/>
  <c r="J156" i="1"/>
  <c r="J157" i="1"/>
  <c r="J158" i="1"/>
  <c r="J159" i="1"/>
  <c r="J160" i="1"/>
  <c r="J161" i="1"/>
  <c r="J162" i="1"/>
  <c r="J163" i="1"/>
  <c r="J164" i="1"/>
  <c r="J165" i="1"/>
  <c r="J166" i="1"/>
  <c r="J167" i="1"/>
  <c r="J168" i="1"/>
  <c r="J169" i="1"/>
  <c r="J170" i="1"/>
  <c r="J171" i="1"/>
  <c r="J172" i="1"/>
  <c r="J173" i="1"/>
  <c r="J174" i="1"/>
  <c r="J175" i="1"/>
  <c r="J176" i="1"/>
  <c r="J177" i="1"/>
  <c r="J178" i="1"/>
  <c r="J179" i="1"/>
  <c r="J180" i="1"/>
  <c r="J181" i="1"/>
  <c r="J182" i="1"/>
  <c r="J183" i="1"/>
  <c r="J184" i="1"/>
  <c r="J185" i="1"/>
  <c r="J186" i="1"/>
  <c r="J187" i="1"/>
  <c r="J188" i="1"/>
  <c r="J189" i="1"/>
  <c r="J190" i="1"/>
  <c r="J191" i="1"/>
  <c r="J192" i="1"/>
  <c r="J193" i="1"/>
  <c r="J194" i="1"/>
  <c r="J195" i="1"/>
  <c r="J196" i="1"/>
  <c r="J197" i="1"/>
  <c r="J198" i="1"/>
  <c r="J199" i="1"/>
  <c r="J200" i="1"/>
  <c r="J201" i="1"/>
  <c r="J202" i="1"/>
  <c r="J203" i="1"/>
  <c r="J204" i="1"/>
  <c r="J205" i="1"/>
  <c r="J206" i="1"/>
  <c r="J207" i="1"/>
  <c r="J208" i="1"/>
  <c r="J209" i="1"/>
  <c r="J210" i="1"/>
  <c r="J211" i="1"/>
  <c r="J212" i="1"/>
  <c r="J213" i="1"/>
  <c r="J214" i="1"/>
  <c r="J215" i="1"/>
  <c r="J216" i="1"/>
  <c r="J217" i="1"/>
  <c r="J218" i="1"/>
  <c r="J219" i="1"/>
  <c r="J220" i="1"/>
  <c r="J221" i="1"/>
  <c r="J222" i="1"/>
  <c r="J223" i="1"/>
  <c r="J224" i="1"/>
  <c r="J225" i="1"/>
  <c r="J226" i="1"/>
  <c r="J227" i="1"/>
  <c r="J228" i="1"/>
  <c r="J229" i="1"/>
  <c r="J230" i="1"/>
  <c r="J231" i="1"/>
  <c r="J232" i="1"/>
  <c r="J233" i="1"/>
  <c r="J234" i="1"/>
  <c r="J235" i="1"/>
  <c r="J236" i="1"/>
  <c r="J237" i="1"/>
  <c r="J238" i="1"/>
  <c r="J239" i="1"/>
  <c r="J240" i="1"/>
  <c r="J241" i="1"/>
  <c r="J242" i="1"/>
  <c r="J243" i="1"/>
  <c r="J244" i="1"/>
  <c r="J245" i="1"/>
  <c r="J246" i="1"/>
  <c r="J247" i="1"/>
  <c r="J248" i="1"/>
  <c r="J249" i="1"/>
  <c r="J250" i="1"/>
  <c r="J251" i="1"/>
  <c r="J252" i="1"/>
  <c r="J253" i="1"/>
  <c r="J254" i="1"/>
  <c r="J255" i="1"/>
  <c r="J256" i="1"/>
  <c r="J257" i="1"/>
  <c r="J258" i="1"/>
  <c r="J259" i="1"/>
  <c r="J260" i="1"/>
  <c r="J261" i="1"/>
  <c r="J262" i="1"/>
  <c r="J263" i="1"/>
  <c r="J264" i="1"/>
  <c r="J265" i="1"/>
  <c r="J266" i="1"/>
  <c r="J267" i="1"/>
  <c r="J268" i="1"/>
  <c r="J269" i="1"/>
  <c r="J270" i="1"/>
  <c r="J271" i="1"/>
  <c r="J272" i="1"/>
  <c r="J273" i="1"/>
  <c r="J274" i="1"/>
  <c r="J275" i="1"/>
  <c r="J276" i="1"/>
  <c r="J277" i="1"/>
  <c r="J278" i="1"/>
  <c r="J279" i="1"/>
  <c r="J280" i="1"/>
  <c r="J281" i="1"/>
  <c r="J282" i="1"/>
  <c r="J283" i="1"/>
  <c r="J284" i="1"/>
  <c r="J285" i="1"/>
  <c r="J286" i="1"/>
  <c r="J287" i="1"/>
  <c r="J288" i="1"/>
  <c r="J289" i="1"/>
  <c r="J290" i="1"/>
  <c r="J291" i="1"/>
  <c r="J292" i="1"/>
  <c r="J293" i="1"/>
  <c r="J294" i="1"/>
  <c r="J295" i="1"/>
  <c r="J296" i="1"/>
  <c r="J297" i="1"/>
  <c r="J298" i="1"/>
  <c r="J299" i="1"/>
  <c r="J300" i="1"/>
  <c r="J301" i="1"/>
  <c r="J302" i="1"/>
  <c r="J303" i="1"/>
  <c r="J304" i="1"/>
  <c r="J305" i="1"/>
  <c r="J306" i="1"/>
  <c r="J307" i="1"/>
  <c r="J308" i="1"/>
  <c r="J309" i="1"/>
  <c r="J310" i="1"/>
  <c r="J311" i="1"/>
  <c r="J312" i="1"/>
  <c r="J313" i="1"/>
  <c r="J314" i="1"/>
  <c r="J315" i="1"/>
  <c r="J316" i="1"/>
  <c r="J317" i="1"/>
  <c r="J318" i="1"/>
  <c r="J319" i="1"/>
  <c r="J320" i="1"/>
  <c r="J321" i="1"/>
  <c r="J322" i="1"/>
  <c r="J323" i="1"/>
  <c r="J324" i="1"/>
  <c r="J325" i="1"/>
  <c r="J326" i="1"/>
  <c r="J327" i="1"/>
  <c r="J328" i="1"/>
  <c r="J329" i="1"/>
  <c r="J330" i="1"/>
  <c r="J331" i="1"/>
  <c r="J332" i="1"/>
  <c r="J333" i="1"/>
  <c r="J334" i="1"/>
  <c r="J335" i="1"/>
  <c r="J336" i="1"/>
  <c r="J337" i="1"/>
  <c r="J338" i="1"/>
  <c r="J339" i="1"/>
  <c r="J340" i="1"/>
  <c r="J341" i="1"/>
  <c r="J342" i="1"/>
  <c r="J343" i="1"/>
  <c r="J344" i="1"/>
  <c r="J345" i="1"/>
  <c r="J346" i="1"/>
  <c r="J347" i="1"/>
  <c r="J348" i="1"/>
  <c r="J349" i="1"/>
  <c r="J350" i="1"/>
  <c r="J351" i="1"/>
  <c r="J352" i="1"/>
  <c r="J353" i="1"/>
  <c r="J354" i="1"/>
  <c r="J355" i="1"/>
  <c r="J356" i="1"/>
  <c r="J357" i="1"/>
  <c r="J358" i="1"/>
  <c r="J359" i="1"/>
  <c r="J360" i="1"/>
  <c r="J361" i="1"/>
  <c r="J362" i="1"/>
  <c r="J363" i="1"/>
  <c r="J364" i="1"/>
  <c r="J365" i="1"/>
  <c r="J366" i="1"/>
  <c r="J367" i="1"/>
  <c r="J368" i="1"/>
  <c r="J369" i="1"/>
  <c r="J370" i="1"/>
  <c r="J371" i="1"/>
  <c r="J372" i="1"/>
  <c r="J373" i="1"/>
  <c r="J374" i="1"/>
  <c r="J375" i="1"/>
  <c r="J376" i="1"/>
  <c r="J377" i="1"/>
  <c r="J378" i="1"/>
  <c r="J379" i="1"/>
  <c r="J380" i="1"/>
  <c r="J381" i="1"/>
  <c r="J382" i="1"/>
  <c r="J383" i="1"/>
  <c r="J384" i="1"/>
  <c r="J385" i="1"/>
  <c r="J386" i="1"/>
  <c r="J387" i="1"/>
  <c r="J388" i="1"/>
  <c r="J389" i="1"/>
  <c r="J390" i="1"/>
  <c r="J391" i="1"/>
  <c r="J392" i="1"/>
  <c r="J393" i="1"/>
  <c r="J394" i="1"/>
  <c r="J395" i="1"/>
  <c r="J396" i="1"/>
  <c r="J397" i="1"/>
  <c r="J398" i="1"/>
  <c r="J399" i="1"/>
  <c r="J400" i="1"/>
  <c r="J401" i="1"/>
  <c r="J402" i="1"/>
  <c r="J403" i="1"/>
  <c r="J404" i="1"/>
  <c r="J405" i="1"/>
  <c r="J406" i="1"/>
  <c r="J407" i="1"/>
  <c r="J408" i="1"/>
  <c r="J409" i="1"/>
  <c r="J410" i="1"/>
  <c r="J411" i="1"/>
  <c r="J412" i="1"/>
  <c r="J413" i="1"/>
  <c r="J414" i="1"/>
  <c r="J415" i="1"/>
  <c r="J416" i="1"/>
  <c r="J417" i="1"/>
  <c r="J418" i="1"/>
  <c r="J419" i="1"/>
  <c r="J420" i="1"/>
  <c r="J421" i="1"/>
  <c r="J422" i="1"/>
  <c r="J423" i="1"/>
  <c r="J424" i="1"/>
  <c r="J425" i="1"/>
  <c r="J426" i="1"/>
  <c r="J427" i="1"/>
  <c r="J428" i="1"/>
  <c r="J429" i="1"/>
  <c r="J430" i="1"/>
  <c r="J431" i="1"/>
  <c r="J432" i="1"/>
  <c r="J433" i="1"/>
  <c r="J434" i="1"/>
  <c r="J435" i="1"/>
  <c r="J436" i="1"/>
  <c r="J437" i="1"/>
  <c r="J438" i="1"/>
  <c r="J439" i="1"/>
  <c r="J440" i="1"/>
  <c r="J441" i="1"/>
  <c r="J442" i="1"/>
  <c r="J443" i="1"/>
  <c r="J444" i="1"/>
  <c r="J445" i="1"/>
  <c r="J446" i="1"/>
  <c r="J447" i="1"/>
  <c r="J448" i="1"/>
  <c r="J449" i="1"/>
  <c r="J450" i="1"/>
  <c r="J451" i="1"/>
  <c r="J452" i="1"/>
  <c r="J453" i="1"/>
  <c r="J454" i="1"/>
  <c r="J455" i="1"/>
  <c r="J456" i="1"/>
  <c r="J457" i="1"/>
  <c r="J458" i="1"/>
  <c r="J459" i="1"/>
  <c r="J460" i="1"/>
  <c r="J461" i="1"/>
  <c r="J462" i="1"/>
  <c r="J463" i="1"/>
  <c r="J464" i="1"/>
  <c r="J465" i="1"/>
  <c r="J466" i="1"/>
  <c r="J467" i="1"/>
  <c r="J468" i="1"/>
  <c r="J469" i="1"/>
  <c r="J470" i="1"/>
  <c r="J471" i="1"/>
  <c r="J472" i="1"/>
  <c r="J473" i="1"/>
  <c r="J474" i="1"/>
  <c r="J475" i="1"/>
  <c r="J476" i="1"/>
  <c r="J477" i="1"/>
  <c r="J478" i="1"/>
  <c r="J479" i="1"/>
  <c r="J480" i="1"/>
  <c r="J481" i="1"/>
  <c r="J482" i="1"/>
  <c r="J483" i="1"/>
  <c r="J484" i="1"/>
  <c r="J485" i="1"/>
  <c r="J486" i="1"/>
  <c r="J487" i="1"/>
  <c r="J488" i="1"/>
  <c r="J489" i="1"/>
  <c r="J490" i="1"/>
  <c r="J491" i="1"/>
  <c r="J492" i="1"/>
  <c r="J493" i="1"/>
  <c r="J494" i="1"/>
  <c r="J495" i="1"/>
  <c r="J496" i="1"/>
  <c r="J497" i="1"/>
  <c r="J498" i="1"/>
  <c r="J499" i="1"/>
  <c r="J500" i="1"/>
  <c r="J501" i="1"/>
  <c r="K5" i="1"/>
  <c r="K3" i="1"/>
  <c r="C8" i="3"/>
  <c r="C7" i="3"/>
  <c r="C6" i="3"/>
  <c r="C5" i="3"/>
  <c r="C4" i="3"/>
  <c r="K6" i="1"/>
  <c r="K8" i="1"/>
  <c r="K9" i="1"/>
  <c r="K10" i="1"/>
  <c r="K12" i="1"/>
  <c r="K13" i="1"/>
  <c r="K14" i="1"/>
  <c r="K15" i="1"/>
  <c r="K16" i="1"/>
  <c r="K17" i="1"/>
  <c r="K18" i="1"/>
  <c r="K19" i="1"/>
  <c r="K20" i="1"/>
  <c r="K21" i="1"/>
  <c r="K22" i="1"/>
  <c r="K23" i="1"/>
  <c r="K24" i="1"/>
  <c r="K25" i="1"/>
  <c r="K26" i="1"/>
  <c r="K27" i="1"/>
  <c r="K28" i="1"/>
  <c r="K29" i="1"/>
  <c r="K30" i="1"/>
  <c r="K31" i="1"/>
  <c r="K32" i="1"/>
  <c r="K33" i="1"/>
  <c r="K34" i="1"/>
  <c r="K35" i="1"/>
  <c r="K36" i="1"/>
  <c r="K37" i="1"/>
  <c r="K38" i="1"/>
  <c r="K39" i="1"/>
  <c r="K40" i="1"/>
  <c r="K41" i="1"/>
  <c r="K42" i="1"/>
  <c r="K43" i="1"/>
  <c r="K44" i="1"/>
  <c r="K45" i="1"/>
  <c r="K46" i="1"/>
  <c r="K47" i="1"/>
  <c r="K48" i="1"/>
  <c r="K49" i="1"/>
  <c r="K50" i="1"/>
  <c r="K51" i="1"/>
  <c r="K52" i="1"/>
  <c r="K53" i="1"/>
  <c r="K54" i="1"/>
  <c r="K55" i="1"/>
  <c r="K56" i="1"/>
  <c r="K57" i="1"/>
  <c r="K58" i="1"/>
  <c r="K59" i="1"/>
  <c r="K60" i="1"/>
  <c r="K61" i="1"/>
  <c r="K62" i="1"/>
  <c r="K63" i="1"/>
  <c r="K64" i="1"/>
  <c r="K65" i="1"/>
  <c r="K66" i="1"/>
  <c r="K67" i="1"/>
  <c r="K68" i="1"/>
  <c r="K69" i="1"/>
  <c r="K70" i="1"/>
  <c r="K71" i="1"/>
  <c r="K72" i="1"/>
  <c r="K73" i="1"/>
  <c r="K74" i="1"/>
  <c r="K75" i="1"/>
  <c r="K76" i="1"/>
  <c r="K77" i="1"/>
  <c r="K78" i="1"/>
  <c r="K79" i="1"/>
  <c r="K80" i="1"/>
  <c r="K81" i="1"/>
  <c r="K82" i="1"/>
  <c r="K83" i="1"/>
  <c r="K84" i="1"/>
  <c r="K85" i="1"/>
  <c r="K86" i="1"/>
  <c r="K87" i="1"/>
  <c r="K88" i="1"/>
  <c r="K89" i="1"/>
  <c r="K90" i="1"/>
  <c r="K91" i="1"/>
  <c r="K92" i="1"/>
  <c r="K93" i="1"/>
  <c r="K94" i="1"/>
  <c r="K95" i="1"/>
  <c r="K96" i="1"/>
  <c r="K97" i="1"/>
  <c r="K98" i="1"/>
  <c r="K99" i="1"/>
  <c r="K100" i="1"/>
  <c r="K101" i="1"/>
  <c r="K102" i="1"/>
  <c r="K103" i="1"/>
  <c r="K104" i="1"/>
  <c r="K105" i="1"/>
  <c r="K106" i="1"/>
  <c r="K107" i="1"/>
  <c r="K108" i="1"/>
  <c r="K109" i="1"/>
  <c r="K110" i="1"/>
  <c r="K111" i="1"/>
  <c r="K112" i="1"/>
  <c r="K113" i="1"/>
  <c r="K114" i="1"/>
  <c r="K115" i="1"/>
  <c r="K116" i="1"/>
  <c r="K117" i="1"/>
  <c r="K118" i="1"/>
  <c r="K119" i="1"/>
  <c r="K120" i="1"/>
  <c r="K121" i="1"/>
  <c r="K122" i="1"/>
  <c r="K123" i="1"/>
  <c r="K124" i="1"/>
  <c r="K125" i="1"/>
  <c r="K126" i="1"/>
  <c r="K127" i="1"/>
  <c r="K128" i="1"/>
  <c r="K129" i="1"/>
  <c r="K130" i="1"/>
  <c r="K131" i="1"/>
  <c r="K132" i="1"/>
  <c r="K133" i="1"/>
  <c r="K134" i="1"/>
  <c r="K135" i="1"/>
  <c r="K136" i="1"/>
  <c r="K137" i="1"/>
  <c r="K138" i="1"/>
  <c r="K139" i="1"/>
  <c r="K140" i="1"/>
  <c r="K141" i="1"/>
  <c r="K142" i="1"/>
  <c r="K143" i="1"/>
  <c r="K144" i="1"/>
  <c r="K145" i="1"/>
  <c r="K146" i="1"/>
  <c r="K147" i="1"/>
  <c r="K148" i="1"/>
  <c r="K149" i="1"/>
  <c r="K150" i="1"/>
  <c r="K151" i="1"/>
  <c r="K152" i="1"/>
  <c r="K153" i="1"/>
  <c r="K154" i="1"/>
  <c r="K155" i="1"/>
  <c r="K156" i="1"/>
  <c r="K157" i="1"/>
  <c r="K158" i="1"/>
  <c r="K159" i="1"/>
  <c r="K160" i="1"/>
  <c r="K161" i="1"/>
  <c r="K162" i="1"/>
  <c r="K163" i="1"/>
  <c r="K164" i="1"/>
  <c r="K165" i="1"/>
  <c r="K166" i="1"/>
  <c r="K167" i="1"/>
  <c r="K168" i="1"/>
  <c r="K169" i="1"/>
  <c r="K170" i="1"/>
  <c r="K171" i="1"/>
  <c r="K172" i="1"/>
  <c r="K173" i="1"/>
  <c r="K174" i="1"/>
  <c r="K175" i="1"/>
  <c r="K176" i="1"/>
  <c r="K177" i="1"/>
  <c r="K178" i="1"/>
  <c r="K179" i="1"/>
  <c r="K180" i="1"/>
  <c r="K181" i="1"/>
  <c r="K182" i="1"/>
  <c r="K183" i="1"/>
  <c r="K184" i="1"/>
  <c r="K185" i="1"/>
  <c r="K186" i="1"/>
  <c r="K187" i="1"/>
  <c r="K188" i="1"/>
  <c r="K189" i="1"/>
  <c r="K190" i="1"/>
  <c r="K191" i="1"/>
  <c r="K192" i="1"/>
  <c r="K193" i="1"/>
  <c r="K194" i="1"/>
  <c r="K195" i="1"/>
  <c r="K196" i="1"/>
  <c r="K197" i="1"/>
  <c r="K198" i="1"/>
  <c r="K199" i="1"/>
  <c r="K200" i="1"/>
  <c r="K201" i="1"/>
  <c r="K202" i="1"/>
  <c r="K203" i="1"/>
  <c r="K204" i="1"/>
  <c r="K205" i="1"/>
  <c r="K206" i="1"/>
  <c r="K207" i="1"/>
  <c r="K208" i="1"/>
  <c r="K209" i="1"/>
  <c r="K210" i="1"/>
  <c r="K211" i="1"/>
  <c r="K212" i="1"/>
  <c r="K213" i="1"/>
  <c r="K214" i="1"/>
  <c r="K215" i="1"/>
  <c r="K216" i="1"/>
  <c r="K217" i="1"/>
  <c r="K218" i="1"/>
  <c r="K219" i="1"/>
  <c r="K220" i="1"/>
  <c r="K221" i="1"/>
  <c r="K222" i="1"/>
  <c r="K223" i="1"/>
  <c r="K224" i="1"/>
  <c r="K225" i="1"/>
  <c r="K226" i="1"/>
  <c r="K227" i="1"/>
  <c r="K228" i="1"/>
  <c r="K229" i="1"/>
  <c r="K230" i="1"/>
  <c r="K231" i="1"/>
  <c r="K232" i="1"/>
  <c r="K233" i="1"/>
  <c r="K234" i="1"/>
  <c r="K235" i="1"/>
  <c r="K236" i="1"/>
  <c r="K237" i="1"/>
  <c r="K238" i="1"/>
  <c r="K239" i="1"/>
  <c r="K240" i="1"/>
  <c r="K241" i="1"/>
  <c r="K242" i="1"/>
  <c r="K243" i="1"/>
  <c r="K244" i="1"/>
  <c r="K245" i="1"/>
  <c r="K246" i="1"/>
  <c r="K247" i="1"/>
  <c r="K248" i="1"/>
  <c r="K249" i="1"/>
  <c r="K250" i="1"/>
  <c r="K251" i="1"/>
  <c r="K252" i="1"/>
  <c r="K253" i="1"/>
  <c r="K254" i="1"/>
  <c r="K255" i="1"/>
  <c r="K256" i="1"/>
  <c r="K257" i="1"/>
  <c r="K258" i="1"/>
  <c r="K259" i="1"/>
  <c r="K260" i="1"/>
  <c r="K261" i="1"/>
  <c r="K262" i="1"/>
  <c r="K263" i="1"/>
  <c r="K264" i="1"/>
  <c r="K265" i="1"/>
  <c r="K266" i="1"/>
  <c r="K267" i="1"/>
  <c r="K268" i="1"/>
  <c r="K269" i="1"/>
  <c r="K270" i="1"/>
  <c r="K271" i="1"/>
  <c r="K272" i="1"/>
  <c r="K273" i="1"/>
  <c r="K274" i="1"/>
  <c r="K275" i="1"/>
  <c r="K276" i="1"/>
  <c r="K277" i="1"/>
  <c r="K278" i="1"/>
  <c r="K279" i="1"/>
  <c r="K280" i="1"/>
  <c r="K281" i="1"/>
  <c r="K282" i="1"/>
  <c r="K283" i="1"/>
  <c r="K284" i="1"/>
  <c r="K285" i="1"/>
  <c r="K286" i="1"/>
  <c r="K287" i="1"/>
  <c r="K288" i="1"/>
  <c r="K289" i="1"/>
  <c r="K290" i="1"/>
  <c r="K291" i="1"/>
  <c r="K292" i="1"/>
  <c r="K293" i="1"/>
  <c r="K294" i="1"/>
  <c r="K295" i="1"/>
  <c r="K296" i="1"/>
  <c r="K297" i="1"/>
  <c r="K298" i="1"/>
  <c r="K299" i="1"/>
  <c r="K300" i="1"/>
  <c r="K301" i="1"/>
  <c r="K302" i="1"/>
  <c r="K303" i="1"/>
  <c r="K304" i="1"/>
  <c r="K305" i="1"/>
  <c r="K306" i="1"/>
  <c r="K307" i="1"/>
  <c r="K308" i="1"/>
  <c r="K309" i="1"/>
  <c r="K310" i="1"/>
  <c r="K311" i="1"/>
  <c r="K312" i="1"/>
  <c r="K313" i="1"/>
  <c r="K314" i="1"/>
  <c r="K315" i="1"/>
  <c r="K316" i="1"/>
  <c r="K317" i="1"/>
  <c r="K318" i="1"/>
  <c r="K319" i="1"/>
  <c r="K320" i="1"/>
  <c r="K321" i="1"/>
  <c r="K322" i="1"/>
  <c r="K323" i="1"/>
  <c r="K324" i="1"/>
  <c r="K325" i="1"/>
  <c r="K326" i="1"/>
  <c r="K327" i="1"/>
  <c r="K328" i="1"/>
  <c r="K329" i="1"/>
  <c r="K330" i="1"/>
  <c r="K331" i="1"/>
  <c r="K332" i="1"/>
  <c r="K333" i="1"/>
  <c r="K334" i="1"/>
  <c r="K335" i="1"/>
  <c r="K336" i="1"/>
  <c r="K337" i="1"/>
  <c r="K338" i="1"/>
  <c r="K339" i="1"/>
  <c r="K340" i="1"/>
  <c r="K341" i="1"/>
  <c r="K342" i="1"/>
  <c r="K343" i="1"/>
  <c r="K344" i="1"/>
  <c r="K345" i="1"/>
  <c r="K346" i="1"/>
  <c r="K347" i="1"/>
  <c r="K348" i="1"/>
  <c r="K349" i="1"/>
  <c r="K350" i="1"/>
  <c r="K351" i="1"/>
  <c r="K352" i="1"/>
  <c r="K353" i="1"/>
  <c r="K354" i="1"/>
  <c r="K355" i="1"/>
  <c r="K356" i="1"/>
  <c r="K357" i="1"/>
  <c r="K358" i="1"/>
  <c r="K359" i="1"/>
  <c r="K360" i="1"/>
  <c r="K361" i="1"/>
  <c r="K362" i="1"/>
  <c r="K363" i="1"/>
  <c r="K364" i="1"/>
  <c r="K365" i="1"/>
  <c r="K366" i="1"/>
  <c r="K367" i="1"/>
  <c r="K368" i="1"/>
  <c r="K369" i="1"/>
  <c r="K370" i="1"/>
  <c r="K371" i="1"/>
  <c r="K372" i="1"/>
  <c r="K373" i="1"/>
  <c r="K374" i="1"/>
  <c r="K375" i="1"/>
  <c r="K376" i="1"/>
  <c r="K377" i="1"/>
  <c r="K378" i="1"/>
  <c r="K379" i="1"/>
  <c r="K380" i="1"/>
  <c r="K381" i="1"/>
  <c r="K382" i="1"/>
  <c r="K383" i="1"/>
  <c r="K384" i="1"/>
  <c r="K385" i="1"/>
  <c r="K386" i="1"/>
  <c r="K387" i="1"/>
  <c r="K388" i="1"/>
  <c r="K389" i="1"/>
  <c r="K390" i="1"/>
  <c r="K391" i="1"/>
  <c r="K392" i="1"/>
  <c r="K393" i="1"/>
  <c r="K394" i="1"/>
  <c r="K395" i="1"/>
  <c r="K396" i="1"/>
  <c r="K397" i="1"/>
  <c r="K398" i="1"/>
  <c r="K399" i="1"/>
  <c r="K400" i="1"/>
  <c r="K401" i="1"/>
  <c r="K402" i="1"/>
  <c r="K403" i="1"/>
  <c r="K404" i="1"/>
  <c r="K405" i="1"/>
  <c r="K406" i="1"/>
  <c r="K407" i="1"/>
  <c r="K408" i="1"/>
  <c r="K409" i="1"/>
  <c r="K410" i="1"/>
  <c r="K411" i="1"/>
  <c r="K412" i="1"/>
  <c r="K413" i="1"/>
  <c r="K414" i="1"/>
  <c r="K415" i="1"/>
  <c r="K416" i="1"/>
  <c r="K417" i="1"/>
  <c r="K418" i="1"/>
  <c r="K419" i="1"/>
  <c r="K420" i="1"/>
  <c r="K421" i="1"/>
  <c r="K422" i="1"/>
  <c r="K423" i="1"/>
  <c r="K424" i="1"/>
  <c r="K425" i="1"/>
  <c r="K426" i="1"/>
  <c r="K427" i="1"/>
  <c r="K428" i="1"/>
  <c r="K429" i="1"/>
  <c r="K430" i="1"/>
  <c r="K431" i="1"/>
  <c r="K432" i="1"/>
  <c r="K433" i="1"/>
  <c r="K434" i="1"/>
  <c r="K435" i="1"/>
  <c r="K436" i="1"/>
  <c r="K437" i="1"/>
  <c r="K438" i="1"/>
  <c r="K439" i="1"/>
  <c r="K440" i="1"/>
  <c r="K441" i="1"/>
  <c r="K442" i="1"/>
  <c r="K443" i="1"/>
  <c r="K444" i="1"/>
  <c r="K445" i="1"/>
  <c r="K446" i="1"/>
  <c r="K447" i="1"/>
  <c r="K448" i="1"/>
  <c r="K449" i="1"/>
  <c r="K450" i="1"/>
  <c r="K451" i="1"/>
  <c r="K452" i="1"/>
  <c r="K453" i="1"/>
  <c r="K454" i="1"/>
  <c r="K455" i="1"/>
  <c r="K456" i="1"/>
  <c r="K457" i="1"/>
  <c r="K458" i="1"/>
  <c r="K459" i="1"/>
  <c r="K460" i="1"/>
  <c r="K461" i="1"/>
  <c r="K462" i="1"/>
  <c r="K463" i="1"/>
  <c r="K464" i="1"/>
  <c r="K465" i="1"/>
  <c r="K466" i="1"/>
  <c r="K467" i="1"/>
  <c r="K468" i="1"/>
  <c r="K469" i="1"/>
  <c r="K470" i="1"/>
  <c r="K471" i="1"/>
  <c r="K472" i="1"/>
  <c r="K473" i="1"/>
  <c r="K474" i="1"/>
  <c r="K475" i="1"/>
  <c r="K476" i="1"/>
  <c r="K477" i="1"/>
  <c r="K478" i="1"/>
  <c r="K479" i="1"/>
  <c r="K480" i="1"/>
  <c r="K481" i="1"/>
  <c r="K482" i="1"/>
  <c r="K483" i="1"/>
  <c r="K484" i="1"/>
  <c r="K485" i="1"/>
  <c r="K486" i="1"/>
  <c r="K487" i="1"/>
  <c r="K488" i="1"/>
  <c r="K489" i="1"/>
  <c r="K490" i="1"/>
  <c r="K491" i="1"/>
  <c r="K492" i="1"/>
  <c r="K493" i="1"/>
  <c r="K494" i="1"/>
  <c r="K495" i="1"/>
  <c r="K496" i="1"/>
  <c r="K497" i="1"/>
  <c r="K498" i="1"/>
  <c r="K499" i="1"/>
  <c r="K500" i="1"/>
  <c r="K501" i="1"/>
  <c r="C44" i="4"/>
  <c r="C43" i="4"/>
  <c r="C38" i="4"/>
  <c r="C20" i="4"/>
  <c r="C21" i="4"/>
  <c r="C22" i="4"/>
  <c r="C23" i="4"/>
  <c r="C24" i="4"/>
  <c r="C25" i="4"/>
  <c r="C26" i="4"/>
  <c r="C27" i="4"/>
  <c r="C28" i="4"/>
  <c r="C29" i="4"/>
  <c r="C30" i="4"/>
  <c r="C31" i="4"/>
  <c r="C32" i="4"/>
  <c r="C33" i="4"/>
  <c r="C34" i="4"/>
  <c r="C35" i="4"/>
  <c r="C36" i="4"/>
  <c r="C37" i="4"/>
  <c r="C19" i="4"/>
  <c r="G6" i="4"/>
  <c r="E6" i="4"/>
  <c r="F6" i="4"/>
  <c r="D6" i="4"/>
  <c r="C6" i="4"/>
  <c r="G5" i="4"/>
  <c r="F5" i="4"/>
  <c r="E5" i="4"/>
  <c r="D5" i="4"/>
  <c r="C5" i="4"/>
  <c r="G4" i="4"/>
  <c r="F4" i="4"/>
  <c r="E4" i="4"/>
  <c r="D4" i="4"/>
  <c r="C4" i="4"/>
  <c r="M3" i="1" a="1"/>
  <c r="M3" i="1" s="1"/>
  <c r="M4" i="1" a="1"/>
  <c r="M4" i="1" s="1"/>
  <c r="M5" i="1" a="1"/>
  <c r="M5" i="1" s="1"/>
  <c r="M6" i="1" a="1"/>
  <c r="M6" i="1" s="1"/>
  <c r="M7" i="1" a="1"/>
  <c r="M7" i="1" s="1"/>
  <c r="M8" i="1" a="1"/>
  <c r="M8" i="1" s="1"/>
  <c r="M9" i="1" a="1"/>
  <c r="M9" i="1" s="1"/>
  <c r="M10" i="1" a="1"/>
  <c r="M10" i="1" s="1"/>
  <c r="M11" i="1" a="1"/>
  <c r="M11" i="1" s="1"/>
  <c r="M12" i="1" a="1"/>
  <c r="M12" i="1" s="1"/>
  <c r="M13" i="1" a="1"/>
  <c r="M13" i="1" s="1"/>
  <c r="M14" i="1" a="1"/>
  <c r="M14" i="1" s="1"/>
  <c r="M15" i="1" a="1"/>
  <c r="M15" i="1" s="1"/>
  <c r="M16" i="1" a="1"/>
  <c r="M16" i="1" s="1"/>
  <c r="M17" i="1" a="1"/>
  <c r="M17" i="1" s="1"/>
  <c r="M18" i="1" a="1"/>
  <c r="M18" i="1" s="1"/>
  <c r="M19" i="1" a="1"/>
  <c r="M19" i="1" s="1"/>
  <c r="M20" i="1" a="1"/>
  <c r="M20" i="1" s="1"/>
  <c r="M21" i="1" a="1"/>
  <c r="M21" i="1" s="1"/>
  <c r="M22" i="1" a="1"/>
  <c r="M22" i="1" s="1"/>
  <c r="M23" i="1" a="1"/>
  <c r="M23" i="1" s="1"/>
  <c r="M24" i="1" a="1"/>
  <c r="M24" i="1" s="1"/>
  <c r="M25" i="1" a="1"/>
  <c r="M25" i="1" s="1"/>
  <c r="M26" i="1" a="1"/>
  <c r="M26" i="1" s="1"/>
  <c r="M27" i="1" a="1"/>
  <c r="M27" i="1" s="1"/>
  <c r="M28" i="1" a="1"/>
  <c r="M28" i="1" s="1"/>
  <c r="M29" i="1" a="1"/>
  <c r="M29" i="1" s="1"/>
  <c r="M30" i="1" a="1"/>
  <c r="M30" i="1" s="1"/>
  <c r="M31" i="1" a="1"/>
  <c r="M31" i="1" s="1"/>
  <c r="M32" i="1" a="1"/>
  <c r="M32" i="1" s="1"/>
  <c r="M33" i="1" a="1"/>
  <c r="M33" i="1" s="1"/>
  <c r="M34" i="1" a="1"/>
  <c r="M34" i="1" s="1"/>
  <c r="M35" i="1" a="1"/>
  <c r="M35" i="1" s="1"/>
  <c r="M36" i="1" a="1"/>
  <c r="M36" i="1" s="1"/>
  <c r="M37" i="1" a="1"/>
  <c r="M37" i="1" s="1"/>
  <c r="M38" i="1" a="1"/>
  <c r="M38" i="1" s="1"/>
  <c r="M39" i="1" a="1"/>
  <c r="M39" i="1" s="1"/>
  <c r="M40" i="1" a="1"/>
  <c r="M40" i="1" s="1"/>
  <c r="M41" i="1" a="1"/>
  <c r="M41" i="1" s="1"/>
  <c r="M42" i="1" a="1"/>
  <c r="M42" i="1" s="1"/>
  <c r="M43" i="1" a="1"/>
  <c r="M43" i="1" s="1"/>
  <c r="M44" i="1" a="1"/>
  <c r="M44" i="1" s="1"/>
  <c r="M45" i="1" a="1"/>
  <c r="M45" i="1" s="1"/>
  <c r="M46" i="1" a="1"/>
  <c r="M46" i="1" s="1"/>
  <c r="M47" i="1" a="1"/>
  <c r="M47" i="1" s="1"/>
  <c r="M48" i="1" a="1"/>
  <c r="M48" i="1" s="1"/>
  <c r="M49" i="1" a="1"/>
  <c r="M49" i="1" s="1"/>
  <c r="M50" i="1" a="1"/>
  <c r="M50" i="1" s="1"/>
  <c r="M51" i="1" a="1"/>
  <c r="M51" i="1" s="1"/>
  <c r="M52" i="1" a="1"/>
  <c r="M52" i="1" s="1"/>
  <c r="M53" i="1" a="1"/>
  <c r="M53" i="1" s="1"/>
  <c r="M54" i="1" a="1"/>
  <c r="M54" i="1" s="1"/>
  <c r="M55" i="1" a="1"/>
  <c r="M55" i="1" s="1"/>
  <c r="M56" i="1" a="1"/>
  <c r="M56" i="1" s="1"/>
  <c r="M57" i="1" a="1"/>
  <c r="M57" i="1" s="1"/>
  <c r="M58" i="1" a="1"/>
  <c r="M58" i="1" s="1"/>
  <c r="M59" i="1" a="1"/>
  <c r="M59" i="1" s="1"/>
  <c r="M60" i="1" a="1"/>
  <c r="M60" i="1" s="1"/>
  <c r="M61" i="1" a="1"/>
  <c r="M61" i="1" s="1"/>
  <c r="M62" i="1" a="1"/>
  <c r="M62" i="1" s="1"/>
  <c r="M63" i="1" a="1"/>
  <c r="M63" i="1" s="1"/>
  <c r="M64" i="1" a="1"/>
  <c r="M64" i="1" s="1"/>
  <c r="M65" i="1" a="1"/>
  <c r="M65" i="1" s="1"/>
  <c r="M66" i="1" a="1"/>
  <c r="M66" i="1" s="1"/>
  <c r="M67" i="1" a="1"/>
  <c r="M67" i="1" s="1"/>
  <c r="M68" i="1" a="1"/>
  <c r="M68" i="1" s="1"/>
  <c r="M69" i="1" a="1"/>
  <c r="M69" i="1" s="1"/>
  <c r="M70" i="1" a="1"/>
  <c r="M70" i="1" s="1"/>
  <c r="M71" i="1" a="1"/>
  <c r="M71" i="1" s="1"/>
  <c r="M72" i="1" a="1"/>
  <c r="M72" i="1" s="1"/>
  <c r="M73" i="1" a="1"/>
  <c r="M73" i="1" s="1"/>
  <c r="M74" i="1" a="1"/>
  <c r="M74" i="1" s="1"/>
  <c r="M75" i="1" a="1"/>
  <c r="M75" i="1" s="1"/>
  <c r="M76" i="1" a="1"/>
  <c r="M76" i="1" s="1"/>
  <c r="M77" i="1" a="1"/>
  <c r="M77" i="1" s="1"/>
  <c r="M78" i="1" a="1"/>
  <c r="M78" i="1" s="1"/>
  <c r="M79" i="1" a="1"/>
  <c r="M79" i="1" s="1"/>
  <c r="M80" i="1" a="1"/>
  <c r="M80" i="1" s="1"/>
  <c r="M81" i="1" a="1"/>
  <c r="M81" i="1" s="1"/>
  <c r="M82" i="1" a="1"/>
  <c r="M82" i="1" s="1"/>
  <c r="M83" i="1" a="1"/>
  <c r="M83" i="1" s="1"/>
  <c r="M84" i="1" a="1"/>
  <c r="M84" i="1" s="1"/>
  <c r="M85" i="1" a="1"/>
  <c r="M85" i="1" s="1"/>
  <c r="M86" i="1" a="1"/>
  <c r="M86" i="1" s="1"/>
  <c r="M87" i="1" a="1"/>
  <c r="M87" i="1" s="1"/>
  <c r="M88" i="1" a="1"/>
  <c r="M88" i="1" s="1"/>
  <c r="M89" i="1" a="1"/>
  <c r="M89" i="1" s="1"/>
  <c r="M90" i="1" a="1"/>
  <c r="M90" i="1" s="1"/>
  <c r="M91" i="1" a="1"/>
  <c r="M91" i="1" s="1"/>
  <c r="M92" i="1" a="1"/>
  <c r="M92" i="1" s="1"/>
  <c r="M93" i="1" a="1"/>
  <c r="M93" i="1" s="1"/>
  <c r="M94" i="1" a="1"/>
  <c r="M94" i="1" s="1"/>
  <c r="M95" i="1" a="1"/>
  <c r="M95" i="1" s="1"/>
  <c r="M96" i="1" a="1"/>
  <c r="M96" i="1" s="1"/>
  <c r="M97" i="1" a="1"/>
  <c r="M97" i="1" s="1"/>
  <c r="M98" i="1" a="1"/>
  <c r="M98" i="1" s="1"/>
  <c r="M99" i="1" a="1"/>
  <c r="M99" i="1" s="1"/>
  <c r="M100" i="1" a="1"/>
  <c r="M100" i="1" s="1"/>
  <c r="M101" i="1" a="1"/>
  <c r="M101" i="1" s="1"/>
  <c r="M102" i="1" a="1"/>
  <c r="M102" i="1" s="1"/>
  <c r="M103" i="1" a="1"/>
  <c r="M103" i="1" s="1"/>
  <c r="M104" i="1" a="1"/>
  <c r="M104" i="1" s="1"/>
  <c r="M105" i="1" a="1"/>
  <c r="M105" i="1" s="1"/>
  <c r="M106" i="1" a="1"/>
  <c r="M106" i="1" s="1"/>
  <c r="M107" i="1" a="1"/>
  <c r="M107" i="1" s="1"/>
  <c r="M108" i="1" a="1"/>
  <c r="M108" i="1" s="1"/>
  <c r="M109" i="1" a="1"/>
  <c r="M109" i="1" s="1"/>
  <c r="M110" i="1" a="1"/>
  <c r="M110" i="1" s="1"/>
  <c r="M111" i="1" a="1"/>
  <c r="M111" i="1" s="1"/>
  <c r="M112" i="1" a="1"/>
  <c r="M112" i="1" s="1"/>
  <c r="M113" i="1" a="1"/>
  <c r="M113" i="1" s="1"/>
  <c r="M114" i="1" a="1"/>
  <c r="M114" i="1" s="1"/>
  <c r="M115" i="1" a="1"/>
  <c r="M115" i="1" s="1"/>
  <c r="M116" i="1" a="1"/>
  <c r="M116" i="1" s="1"/>
  <c r="M117" i="1" a="1"/>
  <c r="M117" i="1" s="1"/>
  <c r="M118" i="1" a="1"/>
  <c r="M118" i="1" s="1"/>
  <c r="M119" i="1" a="1"/>
  <c r="M119" i="1" s="1"/>
  <c r="M120" i="1" a="1"/>
  <c r="M120" i="1" s="1"/>
  <c r="M121" i="1" a="1"/>
  <c r="M121" i="1" s="1"/>
  <c r="M122" i="1" a="1"/>
  <c r="M122" i="1" s="1"/>
  <c r="M123" i="1" a="1"/>
  <c r="M123" i="1" s="1"/>
  <c r="M124" i="1" a="1"/>
  <c r="M124" i="1" s="1"/>
  <c r="M125" i="1" a="1"/>
  <c r="M125" i="1" s="1"/>
  <c r="M126" i="1" a="1"/>
  <c r="M126" i="1" s="1"/>
  <c r="M127" i="1" a="1"/>
  <c r="M127" i="1" s="1"/>
  <c r="M128" i="1" a="1"/>
  <c r="M128" i="1" s="1"/>
  <c r="M129" i="1" a="1"/>
  <c r="M129" i="1" s="1"/>
  <c r="M130" i="1" a="1"/>
  <c r="M130" i="1" s="1"/>
  <c r="M131" i="1" a="1"/>
  <c r="M131" i="1" s="1"/>
  <c r="M132" i="1" a="1"/>
  <c r="M132" i="1" s="1"/>
  <c r="M133" i="1" a="1"/>
  <c r="M133" i="1" s="1"/>
  <c r="M134" i="1" a="1"/>
  <c r="M134" i="1" s="1"/>
  <c r="M135" i="1" a="1"/>
  <c r="M135" i="1" s="1"/>
  <c r="M136" i="1" a="1"/>
  <c r="M136" i="1" s="1"/>
  <c r="M137" i="1" a="1"/>
  <c r="M137" i="1" s="1"/>
  <c r="M138" i="1" a="1"/>
  <c r="M138" i="1" s="1"/>
  <c r="M139" i="1" a="1"/>
  <c r="M139" i="1" s="1"/>
  <c r="M140" i="1" a="1"/>
  <c r="M140" i="1" s="1"/>
  <c r="M141" i="1" a="1"/>
  <c r="M141" i="1" s="1"/>
  <c r="M142" i="1" a="1"/>
  <c r="M142" i="1" s="1"/>
  <c r="M143" i="1" a="1"/>
  <c r="M143" i="1" s="1"/>
  <c r="M144" i="1" a="1"/>
  <c r="M144" i="1" s="1"/>
  <c r="M145" i="1" a="1"/>
  <c r="M145" i="1" s="1"/>
  <c r="M146" i="1" a="1"/>
  <c r="M146" i="1" s="1"/>
  <c r="M147" i="1" a="1"/>
  <c r="M147" i="1" s="1"/>
  <c r="M148" i="1" a="1"/>
  <c r="M148" i="1" s="1"/>
  <c r="M149" i="1" a="1"/>
  <c r="M149" i="1" s="1"/>
  <c r="M150" i="1" a="1"/>
  <c r="M150" i="1" s="1"/>
  <c r="M151" i="1" a="1"/>
  <c r="M151" i="1" s="1"/>
  <c r="M152" i="1" a="1"/>
  <c r="M152" i="1" s="1"/>
  <c r="M153" i="1" a="1"/>
  <c r="M153" i="1" s="1"/>
  <c r="M154" i="1" a="1"/>
  <c r="M154" i="1" s="1"/>
  <c r="M155" i="1" a="1"/>
  <c r="M155" i="1" s="1"/>
  <c r="M156" i="1" a="1"/>
  <c r="M156" i="1" s="1"/>
  <c r="M157" i="1" a="1"/>
  <c r="M157" i="1" s="1"/>
  <c r="M158" i="1" a="1"/>
  <c r="M158" i="1" s="1"/>
  <c r="M159" i="1" a="1"/>
  <c r="M159" i="1" s="1"/>
  <c r="M160" i="1" a="1"/>
  <c r="M160" i="1" s="1"/>
  <c r="M161" i="1" a="1"/>
  <c r="M161" i="1" s="1"/>
  <c r="M162" i="1" a="1"/>
  <c r="M162" i="1" s="1"/>
  <c r="M163" i="1" a="1"/>
  <c r="M163" i="1" s="1"/>
  <c r="M164" i="1" a="1"/>
  <c r="M164" i="1" s="1"/>
  <c r="M165" i="1" a="1"/>
  <c r="M165" i="1" s="1"/>
  <c r="M166" i="1" a="1"/>
  <c r="M166" i="1" s="1"/>
  <c r="M167" i="1" a="1"/>
  <c r="M167" i="1" s="1"/>
  <c r="M168" i="1" a="1"/>
  <c r="M168" i="1" s="1"/>
  <c r="M169" i="1" a="1"/>
  <c r="M169" i="1" s="1"/>
  <c r="M170" i="1" a="1"/>
  <c r="M170" i="1" s="1"/>
  <c r="M171" i="1" a="1"/>
  <c r="M171" i="1" s="1"/>
  <c r="M172" i="1" a="1"/>
  <c r="M172" i="1" s="1"/>
  <c r="M173" i="1" a="1"/>
  <c r="M173" i="1" s="1"/>
  <c r="M174" i="1" a="1"/>
  <c r="M174" i="1" s="1"/>
  <c r="M175" i="1" a="1"/>
  <c r="M175" i="1" s="1"/>
  <c r="M176" i="1" a="1"/>
  <c r="M176" i="1" s="1"/>
  <c r="M177" i="1" a="1"/>
  <c r="M177" i="1" s="1"/>
  <c r="M178" i="1" a="1"/>
  <c r="M178" i="1" s="1"/>
  <c r="M179" i="1" a="1"/>
  <c r="M179" i="1" s="1"/>
  <c r="M180" i="1" a="1"/>
  <c r="M180" i="1" s="1"/>
  <c r="M181" i="1" a="1"/>
  <c r="M181" i="1" s="1"/>
  <c r="M182" i="1" a="1"/>
  <c r="M182" i="1" s="1"/>
  <c r="M183" i="1" a="1"/>
  <c r="M183" i="1" s="1"/>
  <c r="M184" i="1" a="1"/>
  <c r="M184" i="1" s="1"/>
  <c r="M185" i="1" a="1"/>
  <c r="M185" i="1" s="1"/>
  <c r="M186" i="1" a="1"/>
  <c r="M186" i="1" s="1"/>
  <c r="M187" i="1" a="1"/>
  <c r="M187" i="1" s="1"/>
  <c r="M188" i="1" a="1"/>
  <c r="M188" i="1" s="1"/>
  <c r="M189" i="1" a="1"/>
  <c r="M189" i="1" s="1"/>
  <c r="M190" i="1" a="1"/>
  <c r="M190" i="1" s="1"/>
  <c r="M191" i="1" a="1"/>
  <c r="M191" i="1" s="1"/>
  <c r="M192" i="1" a="1"/>
  <c r="M192" i="1" s="1"/>
  <c r="M193" i="1" a="1"/>
  <c r="M193" i="1" s="1"/>
  <c r="M194" i="1" a="1"/>
  <c r="M194" i="1" s="1"/>
  <c r="M195" i="1" a="1"/>
  <c r="M195" i="1" s="1"/>
  <c r="M196" i="1" a="1"/>
  <c r="M196" i="1" s="1"/>
  <c r="M197" i="1" a="1"/>
  <c r="M197" i="1" s="1"/>
  <c r="M198" i="1" a="1"/>
  <c r="M198" i="1" s="1"/>
  <c r="M199" i="1" a="1"/>
  <c r="M199" i="1" s="1"/>
  <c r="M200" i="1" a="1"/>
  <c r="M200" i="1" s="1"/>
  <c r="M201" i="1" a="1"/>
  <c r="M201" i="1" s="1"/>
  <c r="M202" i="1" a="1"/>
  <c r="M202" i="1" s="1"/>
  <c r="M203" i="1" a="1"/>
  <c r="M203" i="1" s="1"/>
  <c r="M204" i="1" a="1"/>
  <c r="M204" i="1" s="1"/>
  <c r="M205" i="1" a="1"/>
  <c r="M205" i="1" s="1"/>
  <c r="M206" i="1" a="1"/>
  <c r="M206" i="1" s="1"/>
  <c r="M207" i="1" a="1"/>
  <c r="M207" i="1" s="1"/>
  <c r="M208" i="1" a="1"/>
  <c r="M208" i="1" s="1"/>
  <c r="M209" i="1" a="1"/>
  <c r="M209" i="1" s="1"/>
  <c r="M210" i="1" a="1"/>
  <c r="M210" i="1" s="1"/>
  <c r="M211" i="1" a="1"/>
  <c r="M211" i="1" s="1"/>
  <c r="M212" i="1" a="1"/>
  <c r="M212" i="1" s="1"/>
  <c r="M213" i="1" a="1"/>
  <c r="M213" i="1" s="1"/>
  <c r="M214" i="1" a="1"/>
  <c r="M214" i="1" s="1"/>
  <c r="M215" i="1" a="1"/>
  <c r="M215" i="1" s="1"/>
  <c r="M216" i="1" a="1"/>
  <c r="M216" i="1" s="1"/>
  <c r="M217" i="1" a="1"/>
  <c r="M217" i="1" s="1"/>
  <c r="M218" i="1" a="1"/>
  <c r="M218" i="1" s="1"/>
  <c r="M219" i="1" a="1"/>
  <c r="M219" i="1" s="1"/>
  <c r="M220" i="1" a="1"/>
  <c r="M220" i="1" s="1"/>
  <c r="M221" i="1" a="1"/>
  <c r="M221" i="1" s="1"/>
  <c r="M222" i="1" a="1"/>
  <c r="M222" i="1" s="1"/>
  <c r="M223" i="1" a="1"/>
  <c r="M223" i="1" s="1"/>
  <c r="M224" i="1" a="1"/>
  <c r="M224" i="1" s="1"/>
  <c r="M225" i="1" a="1"/>
  <c r="M225" i="1" s="1"/>
  <c r="M226" i="1" a="1"/>
  <c r="M226" i="1" s="1"/>
  <c r="M227" i="1" a="1"/>
  <c r="M227" i="1" s="1"/>
  <c r="M228" i="1" a="1"/>
  <c r="M228" i="1" s="1"/>
  <c r="M229" i="1" a="1"/>
  <c r="M229" i="1" s="1"/>
  <c r="M230" i="1" a="1"/>
  <c r="M230" i="1" s="1"/>
  <c r="M231" i="1" a="1"/>
  <c r="M231" i="1" s="1"/>
  <c r="M232" i="1" a="1"/>
  <c r="M232" i="1" s="1"/>
  <c r="M233" i="1" a="1"/>
  <c r="M233" i="1" s="1"/>
  <c r="M234" i="1" a="1"/>
  <c r="M234" i="1" s="1"/>
  <c r="M235" i="1" a="1"/>
  <c r="M235" i="1" s="1"/>
  <c r="M236" i="1" a="1"/>
  <c r="M236" i="1" s="1"/>
  <c r="M237" i="1" a="1"/>
  <c r="M237" i="1" s="1"/>
  <c r="M238" i="1" a="1"/>
  <c r="M238" i="1" s="1"/>
  <c r="M239" i="1" a="1"/>
  <c r="M239" i="1" s="1"/>
  <c r="M240" i="1" a="1"/>
  <c r="M240" i="1" s="1"/>
  <c r="M241" i="1" a="1"/>
  <c r="M241" i="1" s="1"/>
  <c r="M242" i="1" a="1"/>
  <c r="M242" i="1" s="1"/>
  <c r="M243" i="1" a="1"/>
  <c r="M243" i="1" s="1"/>
  <c r="M244" i="1" a="1"/>
  <c r="M244" i="1" s="1"/>
  <c r="M245" i="1" a="1"/>
  <c r="M245" i="1" s="1"/>
  <c r="M246" i="1" a="1"/>
  <c r="M246" i="1" s="1"/>
  <c r="M247" i="1" a="1"/>
  <c r="M247" i="1" s="1"/>
  <c r="M248" i="1" a="1"/>
  <c r="M248" i="1" s="1"/>
  <c r="M249" i="1" a="1"/>
  <c r="M249" i="1" s="1"/>
  <c r="M250" i="1" a="1"/>
  <c r="M250" i="1" s="1"/>
  <c r="M251" i="1" a="1"/>
  <c r="M251" i="1" s="1"/>
  <c r="M252" i="1" a="1"/>
  <c r="M252" i="1" s="1"/>
  <c r="M253" i="1" a="1"/>
  <c r="M253" i="1" s="1"/>
  <c r="M254" i="1" a="1"/>
  <c r="M254" i="1" s="1"/>
  <c r="M255" i="1" a="1"/>
  <c r="M255" i="1" s="1"/>
  <c r="M256" i="1" a="1"/>
  <c r="M256" i="1" s="1"/>
  <c r="M257" i="1" a="1"/>
  <c r="M257" i="1" s="1"/>
  <c r="M258" i="1" a="1"/>
  <c r="M258" i="1" s="1"/>
  <c r="M259" i="1" a="1"/>
  <c r="M259" i="1" s="1"/>
  <c r="M260" i="1" a="1"/>
  <c r="M260" i="1" s="1"/>
  <c r="M261" i="1" a="1"/>
  <c r="M261" i="1" s="1"/>
  <c r="M262" i="1" a="1"/>
  <c r="M262" i="1" s="1"/>
  <c r="M263" i="1" a="1"/>
  <c r="M263" i="1" s="1"/>
  <c r="M264" i="1" a="1"/>
  <c r="M264" i="1" s="1"/>
  <c r="M265" i="1" a="1"/>
  <c r="M265" i="1" s="1"/>
  <c r="M266" i="1" a="1"/>
  <c r="M266" i="1" s="1"/>
  <c r="M267" i="1" a="1"/>
  <c r="M267" i="1" s="1"/>
  <c r="M268" i="1" a="1"/>
  <c r="M268" i="1" s="1"/>
  <c r="M269" i="1" a="1"/>
  <c r="M269" i="1" s="1"/>
  <c r="M270" i="1" a="1"/>
  <c r="M270" i="1" s="1"/>
  <c r="M271" i="1" a="1"/>
  <c r="M271" i="1" s="1"/>
  <c r="M272" i="1" a="1"/>
  <c r="M272" i="1" s="1"/>
  <c r="M273" i="1" a="1"/>
  <c r="M273" i="1" s="1"/>
  <c r="M274" i="1" a="1"/>
  <c r="M274" i="1" s="1"/>
  <c r="M275" i="1" a="1"/>
  <c r="M275" i="1" s="1"/>
  <c r="M276" i="1" a="1"/>
  <c r="M276" i="1" s="1"/>
  <c r="M277" i="1" a="1"/>
  <c r="M277" i="1" s="1"/>
  <c r="M278" i="1" a="1"/>
  <c r="M278" i="1" s="1"/>
  <c r="M279" i="1" a="1"/>
  <c r="M279" i="1" s="1"/>
  <c r="M280" i="1" a="1"/>
  <c r="M280" i="1" s="1"/>
  <c r="M281" i="1" a="1"/>
  <c r="M281" i="1" s="1"/>
  <c r="M282" i="1" a="1"/>
  <c r="M282" i="1" s="1"/>
  <c r="M283" i="1" a="1"/>
  <c r="M283" i="1" s="1"/>
  <c r="M284" i="1" a="1"/>
  <c r="M284" i="1" s="1"/>
  <c r="M285" i="1" a="1"/>
  <c r="M285" i="1" s="1"/>
  <c r="M286" i="1" a="1"/>
  <c r="M286" i="1" s="1"/>
  <c r="M287" i="1" a="1"/>
  <c r="M287" i="1" s="1"/>
  <c r="M288" i="1" a="1"/>
  <c r="M288" i="1" s="1"/>
  <c r="M289" i="1" a="1"/>
  <c r="M289" i="1" s="1"/>
  <c r="M290" i="1" a="1"/>
  <c r="M290" i="1" s="1"/>
  <c r="M291" i="1" a="1"/>
  <c r="M291" i="1" s="1"/>
  <c r="M292" i="1" a="1"/>
  <c r="M292" i="1" s="1"/>
  <c r="M293" i="1" a="1"/>
  <c r="M293" i="1" s="1"/>
  <c r="M294" i="1" a="1"/>
  <c r="M294" i="1" s="1"/>
  <c r="M295" i="1" a="1"/>
  <c r="M295" i="1" s="1"/>
  <c r="M296" i="1" a="1"/>
  <c r="M296" i="1" s="1"/>
  <c r="M297" i="1" a="1"/>
  <c r="M297" i="1" s="1"/>
  <c r="M298" i="1" a="1"/>
  <c r="M298" i="1" s="1"/>
  <c r="M299" i="1" a="1"/>
  <c r="M299" i="1" s="1"/>
  <c r="M300" i="1" a="1"/>
  <c r="M300" i="1" s="1"/>
  <c r="M301" i="1" a="1"/>
  <c r="M301" i="1" s="1"/>
  <c r="M302" i="1" a="1"/>
  <c r="M302" i="1" s="1"/>
  <c r="M303" i="1" a="1"/>
  <c r="M303" i="1" s="1"/>
  <c r="M304" i="1" a="1"/>
  <c r="M304" i="1" s="1"/>
  <c r="M305" i="1" a="1"/>
  <c r="M305" i="1" s="1"/>
  <c r="M306" i="1" a="1"/>
  <c r="M306" i="1" s="1"/>
  <c r="M307" i="1" a="1"/>
  <c r="M307" i="1" s="1"/>
  <c r="M308" i="1" a="1"/>
  <c r="M308" i="1" s="1"/>
  <c r="M309" i="1" a="1"/>
  <c r="M309" i="1" s="1"/>
  <c r="M310" i="1" a="1"/>
  <c r="M310" i="1" s="1"/>
  <c r="M311" i="1" a="1"/>
  <c r="M311" i="1" s="1"/>
  <c r="M312" i="1" a="1"/>
  <c r="M312" i="1" s="1"/>
  <c r="M313" i="1" a="1"/>
  <c r="M313" i="1" s="1"/>
  <c r="M314" i="1" a="1"/>
  <c r="M314" i="1" s="1"/>
  <c r="M315" i="1" a="1"/>
  <c r="M315" i="1" s="1"/>
  <c r="M316" i="1" a="1"/>
  <c r="M316" i="1" s="1"/>
  <c r="M317" i="1" a="1"/>
  <c r="M317" i="1" s="1"/>
  <c r="M318" i="1" a="1"/>
  <c r="M318" i="1" s="1"/>
  <c r="M319" i="1" a="1"/>
  <c r="M319" i="1" s="1"/>
  <c r="M320" i="1" a="1"/>
  <c r="M320" i="1" s="1"/>
  <c r="M321" i="1" a="1"/>
  <c r="M321" i="1" s="1"/>
  <c r="M322" i="1" a="1"/>
  <c r="M322" i="1" s="1"/>
  <c r="M323" i="1" a="1"/>
  <c r="M323" i="1" s="1"/>
  <c r="M324" i="1" a="1"/>
  <c r="M324" i="1" s="1"/>
  <c r="M325" i="1" a="1"/>
  <c r="M325" i="1" s="1"/>
  <c r="M326" i="1" a="1"/>
  <c r="M326" i="1" s="1"/>
  <c r="M327" i="1" a="1"/>
  <c r="M327" i="1" s="1"/>
  <c r="M328" i="1" a="1"/>
  <c r="M328" i="1" s="1"/>
  <c r="M329" i="1" a="1"/>
  <c r="M329" i="1" s="1"/>
  <c r="M330" i="1" a="1"/>
  <c r="M330" i="1" s="1"/>
  <c r="M331" i="1" a="1"/>
  <c r="M331" i="1" s="1"/>
  <c r="M332" i="1" a="1"/>
  <c r="M332" i="1" s="1"/>
  <c r="M333" i="1" a="1"/>
  <c r="M333" i="1" s="1"/>
  <c r="M334" i="1" a="1"/>
  <c r="M334" i="1" s="1"/>
  <c r="M335" i="1" a="1"/>
  <c r="M335" i="1" s="1"/>
  <c r="M336" i="1" a="1"/>
  <c r="M336" i="1" s="1"/>
  <c r="M337" i="1" a="1"/>
  <c r="M337" i="1" s="1"/>
  <c r="M338" i="1" a="1"/>
  <c r="M338" i="1" s="1"/>
  <c r="M339" i="1" a="1"/>
  <c r="M339" i="1" s="1"/>
  <c r="M340" i="1" a="1"/>
  <c r="M340" i="1" s="1"/>
  <c r="M341" i="1" a="1"/>
  <c r="M341" i="1" s="1"/>
  <c r="M342" i="1" a="1"/>
  <c r="M342" i="1" s="1"/>
  <c r="M343" i="1" a="1"/>
  <c r="M343" i="1" s="1"/>
  <c r="M344" i="1" a="1"/>
  <c r="M344" i="1" s="1"/>
  <c r="M345" i="1" a="1"/>
  <c r="M345" i="1" s="1"/>
  <c r="M346" i="1" a="1"/>
  <c r="M346" i="1" s="1"/>
  <c r="M347" i="1" a="1"/>
  <c r="M347" i="1" s="1"/>
  <c r="M348" i="1" a="1"/>
  <c r="M348" i="1" s="1"/>
  <c r="M349" i="1" a="1"/>
  <c r="M349" i="1" s="1"/>
  <c r="M350" i="1" a="1"/>
  <c r="M350" i="1" s="1"/>
  <c r="M351" i="1" a="1"/>
  <c r="M351" i="1" s="1"/>
  <c r="M352" i="1" a="1"/>
  <c r="M352" i="1" s="1"/>
  <c r="M353" i="1" a="1"/>
  <c r="M353" i="1" s="1"/>
  <c r="M354" i="1" a="1"/>
  <c r="M354" i="1" s="1"/>
  <c r="M355" i="1" a="1"/>
  <c r="M355" i="1" s="1"/>
  <c r="M356" i="1" a="1"/>
  <c r="M356" i="1" s="1"/>
  <c r="M357" i="1" a="1"/>
  <c r="M357" i="1" s="1"/>
  <c r="M358" i="1" a="1"/>
  <c r="M358" i="1" s="1"/>
  <c r="M359" i="1" a="1"/>
  <c r="M359" i="1" s="1"/>
  <c r="M360" i="1" a="1"/>
  <c r="M360" i="1" s="1"/>
  <c r="M361" i="1" a="1"/>
  <c r="M361" i="1" s="1"/>
  <c r="M362" i="1" a="1"/>
  <c r="M362" i="1" s="1"/>
  <c r="M363" i="1" a="1"/>
  <c r="M363" i="1" s="1"/>
  <c r="M364" i="1" a="1"/>
  <c r="M364" i="1" s="1"/>
  <c r="M365" i="1" a="1"/>
  <c r="M365" i="1" s="1"/>
  <c r="M366" i="1" a="1"/>
  <c r="M366" i="1" s="1"/>
  <c r="M367" i="1" a="1"/>
  <c r="M367" i="1" s="1"/>
  <c r="M368" i="1" a="1"/>
  <c r="M368" i="1" s="1"/>
  <c r="M369" i="1" a="1"/>
  <c r="M369" i="1" s="1"/>
  <c r="M370" i="1" a="1"/>
  <c r="M370" i="1" s="1"/>
  <c r="M371" i="1" a="1"/>
  <c r="M371" i="1" s="1"/>
  <c r="M372" i="1" a="1"/>
  <c r="M372" i="1" s="1"/>
  <c r="M373" i="1" a="1"/>
  <c r="M373" i="1" s="1"/>
  <c r="M374" i="1" a="1"/>
  <c r="M374" i="1" s="1"/>
  <c r="M375" i="1" a="1"/>
  <c r="M375" i="1" s="1"/>
  <c r="M376" i="1" a="1"/>
  <c r="M376" i="1" s="1"/>
  <c r="M377" i="1" a="1"/>
  <c r="M377" i="1" s="1"/>
  <c r="M378" i="1" a="1"/>
  <c r="M378" i="1" s="1"/>
  <c r="M379" i="1" a="1"/>
  <c r="M379" i="1" s="1"/>
  <c r="M380" i="1" a="1"/>
  <c r="M380" i="1" s="1"/>
  <c r="M381" i="1" a="1"/>
  <c r="M381" i="1" s="1"/>
  <c r="M382" i="1" a="1"/>
  <c r="M382" i="1" s="1"/>
  <c r="M383" i="1" a="1"/>
  <c r="M383" i="1" s="1"/>
  <c r="M384" i="1" a="1"/>
  <c r="M384" i="1" s="1"/>
  <c r="M385" i="1" a="1"/>
  <c r="M385" i="1" s="1"/>
  <c r="M386" i="1" a="1"/>
  <c r="M386" i="1" s="1"/>
  <c r="M387" i="1" a="1"/>
  <c r="M387" i="1" s="1"/>
  <c r="M388" i="1" a="1"/>
  <c r="M388" i="1" s="1"/>
  <c r="M389" i="1" a="1"/>
  <c r="M389" i="1" s="1"/>
  <c r="M390" i="1" a="1"/>
  <c r="M390" i="1" s="1"/>
  <c r="M391" i="1" a="1"/>
  <c r="M391" i="1" s="1"/>
  <c r="M392" i="1" a="1"/>
  <c r="M392" i="1" s="1"/>
  <c r="M393" i="1" a="1"/>
  <c r="M393" i="1" s="1"/>
  <c r="M394" i="1" a="1"/>
  <c r="M394" i="1" s="1"/>
  <c r="M395" i="1" a="1"/>
  <c r="M395" i="1" s="1"/>
  <c r="M396" i="1" a="1"/>
  <c r="M396" i="1" s="1"/>
  <c r="M397" i="1" a="1"/>
  <c r="M397" i="1" s="1"/>
  <c r="M398" i="1" a="1"/>
  <c r="M398" i="1" s="1"/>
  <c r="M399" i="1" a="1"/>
  <c r="M399" i="1" s="1"/>
  <c r="M400" i="1" a="1"/>
  <c r="M400" i="1" s="1"/>
  <c r="M401" i="1" a="1"/>
  <c r="M401" i="1" s="1"/>
  <c r="M402" i="1" a="1"/>
  <c r="M402" i="1" s="1"/>
  <c r="M403" i="1" a="1"/>
  <c r="M403" i="1" s="1"/>
  <c r="M404" i="1" a="1"/>
  <c r="M404" i="1" s="1"/>
  <c r="M405" i="1" a="1"/>
  <c r="M405" i="1" s="1"/>
  <c r="M406" i="1" a="1"/>
  <c r="M406" i="1" s="1"/>
  <c r="M407" i="1" a="1"/>
  <c r="M407" i="1" s="1"/>
  <c r="M408" i="1" a="1"/>
  <c r="M408" i="1" s="1"/>
  <c r="M409" i="1" a="1"/>
  <c r="M409" i="1" s="1"/>
  <c r="M410" i="1" a="1"/>
  <c r="M410" i="1" s="1"/>
  <c r="M411" i="1" a="1"/>
  <c r="M411" i="1" s="1"/>
  <c r="M412" i="1" a="1"/>
  <c r="M412" i="1" s="1"/>
  <c r="M413" i="1" a="1"/>
  <c r="M413" i="1" s="1"/>
  <c r="M414" i="1" a="1"/>
  <c r="M414" i="1" s="1"/>
  <c r="M415" i="1" a="1"/>
  <c r="M415" i="1" s="1"/>
  <c r="M416" i="1" a="1"/>
  <c r="M416" i="1" s="1"/>
  <c r="M417" i="1" a="1"/>
  <c r="M417" i="1" s="1"/>
  <c r="M418" i="1" a="1"/>
  <c r="M418" i="1" s="1"/>
  <c r="M419" i="1" a="1"/>
  <c r="M419" i="1" s="1"/>
  <c r="M420" i="1" a="1"/>
  <c r="M420" i="1" s="1"/>
  <c r="M421" i="1" a="1"/>
  <c r="M421" i="1" s="1"/>
  <c r="M422" i="1" a="1"/>
  <c r="M422" i="1" s="1"/>
  <c r="M423" i="1" a="1"/>
  <c r="M423" i="1" s="1"/>
  <c r="M424" i="1" a="1"/>
  <c r="M424" i="1" s="1"/>
  <c r="M425" i="1" a="1"/>
  <c r="M425" i="1" s="1"/>
  <c r="M426" i="1" a="1"/>
  <c r="M426" i="1" s="1"/>
  <c r="M427" i="1" a="1"/>
  <c r="M427" i="1" s="1"/>
  <c r="M428" i="1" a="1"/>
  <c r="M428" i="1" s="1"/>
  <c r="M429" i="1" a="1"/>
  <c r="M429" i="1" s="1"/>
  <c r="M430" i="1" a="1"/>
  <c r="M430" i="1" s="1"/>
  <c r="M431" i="1" a="1"/>
  <c r="M431" i="1" s="1"/>
  <c r="M432" i="1" a="1"/>
  <c r="M432" i="1" s="1"/>
  <c r="M433" i="1" a="1"/>
  <c r="M433" i="1" s="1"/>
  <c r="M434" i="1" a="1"/>
  <c r="M434" i="1" s="1"/>
  <c r="M435" i="1" a="1"/>
  <c r="M435" i="1" s="1"/>
  <c r="M436" i="1" a="1"/>
  <c r="M436" i="1" s="1"/>
  <c r="M437" i="1" a="1"/>
  <c r="M437" i="1" s="1"/>
  <c r="M438" i="1" a="1"/>
  <c r="M438" i="1" s="1"/>
  <c r="M439" i="1" a="1"/>
  <c r="M439" i="1" s="1"/>
  <c r="M440" i="1" a="1"/>
  <c r="M440" i="1" s="1"/>
  <c r="M441" i="1" a="1"/>
  <c r="M441" i="1" s="1"/>
  <c r="M442" i="1" a="1"/>
  <c r="M442" i="1" s="1"/>
  <c r="M443" i="1" a="1"/>
  <c r="M443" i="1" s="1"/>
  <c r="M444" i="1" a="1"/>
  <c r="M444" i="1" s="1"/>
  <c r="M445" i="1" a="1"/>
  <c r="M445" i="1" s="1"/>
  <c r="M446" i="1" a="1"/>
  <c r="M446" i="1" s="1"/>
  <c r="M447" i="1" a="1"/>
  <c r="M447" i="1" s="1"/>
  <c r="M448" i="1" a="1"/>
  <c r="M448" i="1" s="1"/>
  <c r="M449" i="1" a="1"/>
  <c r="M449" i="1" s="1"/>
  <c r="M450" i="1" a="1"/>
  <c r="M450" i="1" s="1"/>
  <c r="M451" i="1" a="1"/>
  <c r="M451" i="1" s="1"/>
  <c r="M452" i="1" a="1"/>
  <c r="M452" i="1" s="1"/>
  <c r="M453" i="1" a="1"/>
  <c r="M453" i="1" s="1"/>
  <c r="M454" i="1" a="1"/>
  <c r="M454" i="1" s="1"/>
  <c r="M455" i="1" a="1"/>
  <c r="M455" i="1" s="1"/>
  <c r="M456" i="1" a="1"/>
  <c r="M456" i="1" s="1"/>
  <c r="M457" i="1" a="1"/>
  <c r="M457" i="1" s="1"/>
  <c r="M458" i="1" a="1"/>
  <c r="M458" i="1" s="1"/>
  <c r="M459" i="1" a="1"/>
  <c r="M459" i="1" s="1"/>
  <c r="M460" i="1" a="1"/>
  <c r="M460" i="1" s="1"/>
  <c r="M461" i="1" a="1"/>
  <c r="M461" i="1" s="1"/>
  <c r="M462" i="1" a="1"/>
  <c r="M462" i="1" s="1"/>
  <c r="M463" i="1" a="1"/>
  <c r="M463" i="1" s="1"/>
  <c r="M464" i="1" a="1"/>
  <c r="M464" i="1" s="1"/>
  <c r="M465" i="1" a="1"/>
  <c r="M465" i="1" s="1"/>
  <c r="M466" i="1" a="1"/>
  <c r="M466" i="1" s="1"/>
  <c r="M467" i="1" a="1"/>
  <c r="M467" i="1" s="1"/>
  <c r="M468" i="1" a="1"/>
  <c r="M468" i="1" s="1"/>
  <c r="M469" i="1" a="1"/>
  <c r="M469" i="1" s="1"/>
  <c r="M470" i="1" a="1"/>
  <c r="M470" i="1" s="1"/>
  <c r="M471" i="1" a="1"/>
  <c r="M471" i="1" s="1"/>
  <c r="M472" i="1" a="1"/>
  <c r="M472" i="1" s="1"/>
  <c r="M473" i="1" a="1"/>
  <c r="M473" i="1" s="1"/>
  <c r="M474" i="1" a="1"/>
  <c r="M474" i="1" s="1"/>
  <c r="M475" i="1" a="1"/>
  <c r="M475" i="1" s="1"/>
  <c r="M476" i="1" a="1"/>
  <c r="M476" i="1" s="1"/>
  <c r="M477" i="1" a="1"/>
  <c r="M477" i="1" s="1"/>
  <c r="M478" i="1" a="1"/>
  <c r="M478" i="1" s="1"/>
  <c r="M479" i="1" a="1"/>
  <c r="M479" i="1" s="1"/>
  <c r="M480" i="1" a="1"/>
  <c r="M480" i="1" s="1"/>
  <c r="M481" i="1" a="1"/>
  <c r="M481" i="1" s="1"/>
  <c r="M482" i="1" a="1"/>
  <c r="M482" i="1" s="1"/>
  <c r="M483" i="1" a="1"/>
  <c r="M483" i="1" s="1"/>
  <c r="M484" i="1" a="1"/>
  <c r="M484" i="1" s="1"/>
  <c r="M485" i="1" a="1"/>
  <c r="M485" i="1" s="1"/>
  <c r="M486" i="1" a="1"/>
  <c r="M486" i="1" s="1"/>
  <c r="M487" i="1" a="1"/>
  <c r="M487" i="1" s="1"/>
  <c r="M488" i="1" a="1"/>
  <c r="M488" i="1" s="1"/>
  <c r="M489" i="1" a="1"/>
  <c r="M489" i="1" s="1"/>
  <c r="M490" i="1" a="1"/>
  <c r="M490" i="1" s="1"/>
  <c r="M491" i="1" a="1"/>
  <c r="M491" i="1" s="1"/>
  <c r="M492" i="1" a="1"/>
  <c r="M492" i="1" s="1"/>
  <c r="M493" i="1" a="1"/>
  <c r="M493" i="1" s="1"/>
  <c r="M494" i="1" a="1"/>
  <c r="M494" i="1" s="1"/>
  <c r="M495" i="1" a="1"/>
  <c r="M495" i="1" s="1"/>
  <c r="M496" i="1" a="1"/>
  <c r="M496" i="1" s="1"/>
  <c r="M497" i="1" a="1"/>
  <c r="M497" i="1" s="1"/>
  <c r="M498" i="1" a="1"/>
  <c r="M498" i="1" s="1"/>
  <c r="M499" i="1" a="1"/>
  <c r="M499" i="1" s="1"/>
  <c r="M500" i="1" a="1"/>
  <c r="M500" i="1" s="1"/>
  <c r="M501" i="1" a="1"/>
  <c r="M501" i="1" s="1"/>
  <c r="I7" i="5"/>
  <c r="I6" i="5"/>
  <c r="I5" i="5"/>
  <c r="C14" i="4" l="1"/>
  <c r="C11" i="4"/>
  <c r="C12" i="4"/>
  <c r="C13" i="4"/>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<sst xmlns="http://schemas.openxmlformats.org/spreadsheetml/2006/main" count="1967" uniqueCount="977">
  <si>
    <t>2024-10-08</t>
  </si>
  <si>
    <t>2024-10-22</t>
  </si>
  <si>
    <t>C0500</t>
  </si>
  <si>
    <t>2025-03-31</t>
  </si>
  <si>
    <t>2025-04-06</t>
  </si>
  <si>
    <t>Umbria</t>
  </si>
  <si>
    <t>C0499</t>
  </si>
  <si>
    <t>2025-04-04</t>
  </si>
  <si>
    <t>2025-04-12</t>
  </si>
  <si>
    <t>Emilia-Romagna</t>
  </si>
  <si>
    <t>C0498</t>
  </si>
  <si>
    <t>2024-11-23</t>
  </si>
  <si>
    <t>2024-11-28</t>
  </si>
  <si>
    <t>Friuli-Venezia Giulia</t>
  </si>
  <si>
    <t>C0497</t>
  </si>
  <si>
    <t>2025-05-14</t>
  </si>
  <si>
    <t>2025-05-22</t>
  </si>
  <si>
    <t>Basilicata</t>
  </si>
  <si>
    <t>C0496</t>
  </si>
  <si>
    <t>2025-04-13</t>
  </si>
  <si>
    <t>Lazio</t>
  </si>
  <si>
    <t>C0495</t>
  </si>
  <si>
    <t>2024-06-25</t>
  </si>
  <si>
    <t>2024-07-10</t>
  </si>
  <si>
    <t>C0494</t>
  </si>
  <si>
    <t>2024-06-29</t>
  </si>
  <si>
    <t>2024-07-27</t>
  </si>
  <si>
    <t>C0493</t>
  </si>
  <si>
    <t>2024-11-29</t>
  </si>
  <si>
    <t>2024-12-11</t>
  </si>
  <si>
    <t>Veneto</t>
  </si>
  <si>
    <t>C0492</t>
  </si>
  <si>
    <t>2024-10-15</t>
  </si>
  <si>
    <t>C0491</t>
  </si>
  <si>
    <t>2024-11-08</t>
  </si>
  <si>
    <t>2024-11-18</t>
  </si>
  <si>
    <t>C0490</t>
  </si>
  <si>
    <t>2025-05-26</t>
  </si>
  <si>
    <t>Molise</t>
  </si>
  <si>
    <t>C0489</t>
  </si>
  <si>
    <t>2024-09-16</t>
  </si>
  <si>
    <t>C0488</t>
  </si>
  <si>
    <t>2024-12-09</t>
  </si>
  <si>
    <t>Marche</t>
  </si>
  <si>
    <t>C0487</t>
  </si>
  <si>
    <t>2024-10-09</t>
  </si>
  <si>
    <t>C0486</t>
  </si>
  <si>
    <t>2024-10-29</t>
  </si>
  <si>
    <t>C0485</t>
  </si>
  <si>
    <t>2025-05-03</t>
  </si>
  <si>
    <t>C0484</t>
  </si>
  <si>
    <t>2025-01-04</t>
  </si>
  <si>
    <t>2025-01-17</t>
  </si>
  <si>
    <t>C0483</t>
  </si>
  <si>
    <t>2025-04-19</t>
  </si>
  <si>
    <t>2025-05-01</t>
  </si>
  <si>
    <t>C0482</t>
  </si>
  <si>
    <t>2025-02-09</t>
  </si>
  <si>
    <t>2025-02-18</t>
  </si>
  <si>
    <t>C0481</t>
  </si>
  <si>
    <t>2024-09-12</t>
  </si>
  <si>
    <t>Calabria</t>
  </si>
  <si>
    <t>C0480</t>
  </si>
  <si>
    <t>2024-11-22</t>
  </si>
  <si>
    <t>C0479</t>
  </si>
  <si>
    <t>2025-03-10</t>
  </si>
  <si>
    <t>C0478</t>
  </si>
  <si>
    <t>2024-12-22</t>
  </si>
  <si>
    <t>2024-12-28</t>
  </si>
  <si>
    <t>C0477</t>
  </si>
  <si>
    <t>C0476</t>
  </si>
  <si>
    <t>2025-02-06</t>
  </si>
  <si>
    <t>2025-02-12</t>
  </si>
  <si>
    <t>C0475</t>
  </si>
  <si>
    <t>2025-01-11</t>
  </si>
  <si>
    <t>Campania</t>
  </si>
  <si>
    <t>C0474</t>
  </si>
  <si>
    <t>2024-09-29</t>
  </si>
  <si>
    <t>2024-10-28</t>
  </si>
  <si>
    <t>C0473</t>
  </si>
  <si>
    <t>2024-12-26</t>
  </si>
  <si>
    <t>2025-01-01</t>
  </si>
  <si>
    <t>C0472</t>
  </si>
  <si>
    <t>2024-07-07</t>
  </si>
  <si>
    <t>C0471</t>
  </si>
  <si>
    <t>2024-06-08</t>
  </si>
  <si>
    <t>Abruzzo</t>
  </si>
  <si>
    <t>C0470</t>
  </si>
  <si>
    <t>2024-08-11</t>
  </si>
  <si>
    <t>2024-09-09</t>
  </si>
  <si>
    <t>C0469</t>
  </si>
  <si>
    <t>2024-11-20</t>
  </si>
  <si>
    <t>C0468</t>
  </si>
  <si>
    <t>2024-09-02</t>
  </si>
  <si>
    <t>C0467</t>
  </si>
  <si>
    <t>2025-02-22</t>
  </si>
  <si>
    <t>2025-03-03</t>
  </si>
  <si>
    <t>C0466</t>
  </si>
  <si>
    <t>2025-01-21</t>
  </si>
  <si>
    <t>C0465</t>
  </si>
  <si>
    <t>2024-07-22</t>
  </si>
  <si>
    <t>2024-08-08</t>
  </si>
  <si>
    <t>C0464</t>
  </si>
  <si>
    <t>2025-01-06</t>
  </si>
  <si>
    <t>C0463</t>
  </si>
  <si>
    <t>2025-03-17</t>
  </si>
  <si>
    <t>2025-04-11</t>
  </si>
  <si>
    <t>C0462</t>
  </si>
  <si>
    <t>2025-05-21</t>
  </si>
  <si>
    <t>2025-05-27</t>
  </si>
  <si>
    <t>C0461</t>
  </si>
  <si>
    <t>2024-07-14</t>
  </si>
  <si>
    <t>C0460</t>
  </si>
  <si>
    <t>2024-10-26</t>
  </si>
  <si>
    <t>C0459</t>
  </si>
  <si>
    <t>2024-11-15</t>
  </si>
  <si>
    <t>C0458</t>
  </si>
  <si>
    <t>2024-10-18</t>
  </si>
  <si>
    <t>2024-11-09</t>
  </si>
  <si>
    <t>C0457</t>
  </si>
  <si>
    <t>2024-09-04</t>
  </si>
  <si>
    <t>C0456</t>
  </si>
  <si>
    <t>2024-07-19</t>
  </si>
  <si>
    <t>2024-08-18</t>
  </si>
  <si>
    <t>C0455</t>
  </si>
  <si>
    <t>2024-10-16</t>
  </si>
  <si>
    <t>C0454</t>
  </si>
  <si>
    <t>C0453</t>
  </si>
  <si>
    <t>2025-04-18</t>
  </si>
  <si>
    <t>C0452</t>
  </si>
  <si>
    <t>2025-02-27</t>
  </si>
  <si>
    <t>2025-03-28</t>
  </si>
  <si>
    <t>C0451</t>
  </si>
  <si>
    <t>2024-07-20</t>
  </si>
  <si>
    <t>C0450</t>
  </si>
  <si>
    <t>2024-08-14</t>
  </si>
  <si>
    <t>C0449</t>
  </si>
  <si>
    <t>2024-09-19</t>
  </si>
  <si>
    <t>C0448</t>
  </si>
  <si>
    <t>2024-11-05</t>
  </si>
  <si>
    <t>2024-11-17</t>
  </si>
  <si>
    <t>C0447</t>
  </si>
  <si>
    <t>2024-09-08</t>
  </si>
  <si>
    <t>C0446</t>
  </si>
  <si>
    <t>2025-04-30</t>
  </si>
  <si>
    <t>C0445</t>
  </si>
  <si>
    <t>2024-07-18</t>
  </si>
  <si>
    <t>C0444</t>
  </si>
  <si>
    <t>2025-02-08</t>
  </si>
  <si>
    <t>2025-02-14</t>
  </si>
  <si>
    <t>C0443</t>
  </si>
  <si>
    <t>2025-02-01</t>
  </si>
  <si>
    <t>Liguria</t>
  </si>
  <si>
    <t>C0442</t>
  </si>
  <si>
    <t>2025-04-23</t>
  </si>
  <si>
    <t>C0441</t>
  </si>
  <si>
    <t>C0440</t>
  </si>
  <si>
    <t>2024-09-25</t>
  </si>
  <si>
    <t>C0439</t>
  </si>
  <si>
    <t>2024-06-16</t>
  </si>
  <si>
    <t>2024-07-09</t>
  </si>
  <si>
    <t>C0438</t>
  </si>
  <si>
    <t>2024-12-12</t>
  </si>
  <si>
    <t>C0437</t>
  </si>
  <si>
    <t>2024-11-25</t>
  </si>
  <si>
    <t>2024-11-30</t>
  </si>
  <si>
    <t>C0436</t>
  </si>
  <si>
    <t>2024-12-07</t>
  </si>
  <si>
    <t>C0435</t>
  </si>
  <si>
    <t>2024-06-10</t>
  </si>
  <si>
    <t>2024-06-30</t>
  </si>
  <si>
    <t>C0434</t>
  </si>
  <si>
    <t>2025-05-20</t>
  </si>
  <si>
    <t>C0433</t>
  </si>
  <si>
    <t>2025-04-09</t>
  </si>
  <si>
    <t>C0432</t>
  </si>
  <si>
    <t>2024-10-27</t>
  </si>
  <si>
    <t>C0431</t>
  </si>
  <si>
    <t>C0430</t>
  </si>
  <si>
    <t>C0429</t>
  </si>
  <si>
    <t>2024-08-13</t>
  </si>
  <si>
    <t>C0428</t>
  </si>
  <si>
    <t>2025-03-13</t>
  </si>
  <si>
    <t>2025-04-07</t>
  </si>
  <si>
    <t>C0427</t>
  </si>
  <si>
    <t>2025-03-08</t>
  </si>
  <si>
    <t>C0426</t>
  </si>
  <si>
    <t>C0425</t>
  </si>
  <si>
    <t>2024-10-19</t>
  </si>
  <si>
    <t>C0424</t>
  </si>
  <si>
    <t>2024-08-30</t>
  </si>
  <si>
    <t>C0423</t>
  </si>
  <si>
    <t>C0422</t>
  </si>
  <si>
    <t>2024-06-15</t>
  </si>
  <si>
    <t>C0421</t>
  </si>
  <si>
    <t>2024-12-24</t>
  </si>
  <si>
    <t>2024-12-29</t>
  </si>
  <si>
    <t>C0420</t>
  </si>
  <si>
    <t>2024-11-26</t>
  </si>
  <si>
    <t>C0419</t>
  </si>
  <si>
    <t>2024-08-17</t>
  </si>
  <si>
    <t>C0418</t>
  </si>
  <si>
    <t>C0417</t>
  </si>
  <si>
    <t>2025-03-19</t>
  </si>
  <si>
    <t>C0416</t>
  </si>
  <si>
    <t>2024-06-09</t>
  </si>
  <si>
    <t>C0415</t>
  </si>
  <si>
    <t>2025-05-28</t>
  </si>
  <si>
    <t>C0414</t>
  </si>
  <si>
    <t>2025-03-30</t>
  </si>
  <si>
    <t>2025-04-22</t>
  </si>
  <si>
    <t>C0413</t>
  </si>
  <si>
    <t>2024-09-28</t>
  </si>
  <si>
    <t>C0412</t>
  </si>
  <si>
    <t>2025-01-19</t>
  </si>
  <si>
    <t>C0411</t>
  </si>
  <si>
    <t>2025-01-31</t>
  </si>
  <si>
    <t>C0410</t>
  </si>
  <si>
    <t>2025-01-13</t>
  </si>
  <si>
    <t>C0409</t>
  </si>
  <si>
    <t>C0408</t>
  </si>
  <si>
    <t>2024-10-01</t>
  </si>
  <si>
    <t>C0407</t>
  </si>
  <si>
    <t>2025-05-13</t>
  </si>
  <si>
    <t>C0406</t>
  </si>
  <si>
    <t>2024-10-25</t>
  </si>
  <si>
    <t>C0405</t>
  </si>
  <si>
    <t>2025-05-08</t>
  </si>
  <si>
    <t>C0404</t>
  </si>
  <si>
    <t>2025-01-05</t>
  </si>
  <si>
    <t>C0403</t>
  </si>
  <si>
    <t>2025-03-22</t>
  </si>
  <si>
    <t>C0402</t>
  </si>
  <si>
    <t>C0401</t>
  </si>
  <si>
    <t>2025-03-05</t>
  </si>
  <si>
    <t>2025-03-26</t>
  </si>
  <si>
    <t>C0400</t>
  </si>
  <si>
    <t>C0399</t>
  </si>
  <si>
    <t>2025-01-30</t>
  </si>
  <si>
    <t>C0398</t>
  </si>
  <si>
    <t>C0397</t>
  </si>
  <si>
    <t>C0396</t>
  </si>
  <si>
    <t>2024-10-07</t>
  </si>
  <si>
    <t>C0395</t>
  </si>
  <si>
    <t>2024-08-24</t>
  </si>
  <si>
    <t>C0394</t>
  </si>
  <si>
    <t>2025-04-14</t>
  </si>
  <si>
    <t>C0393</t>
  </si>
  <si>
    <t>2024-08-12</t>
  </si>
  <si>
    <t>C0392</t>
  </si>
  <si>
    <t>2024-12-23</t>
  </si>
  <si>
    <t>C0391</t>
  </si>
  <si>
    <t>2024-09-23</t>
  </si>
  <si>
    <t>C0390</t>
  </si>
  <si>
    <t>2024-11-01</t>
  </si>
  <si>
    <t>C0389</t>
  </si>
  <si>
    <t>2024-07-01</t>
  </si>
  <si>
    <t>C0388</t>
  </si>
  <si>
    <t>2024-07-06</t>
  </si>
  <si>
    <t>C0387</t>
  </si>
  <si>
    <t>2024-08-15</t>
  </si>
  <si>
    <t>C0386</t>
  </si>
  <si>
    <t>C0385</t>
  </si>
  <si>
    <t>2025-04-26</t>
  </si>
  <si>
    <t>C0384</t>
  </si>
  <si>
    <t>2024-08-03</t>
  </si>
  <si>
    <t>C0383</t>
  </si>
  <si>
    <t>2025-01-24</t>
  </si>
  <si>
    <t>C0382</t>
  </si>
  <si>
    <t>2024-12-31</t>
  </si>
  <si>
    <t>C0381</t>
  </si>
  <si>
    <t>2025-04-15</t>
  </si>
  <si>
    <t>C0380</t>
  </si>
  <si>
    <t>2024-11-19</t>
  </si>
  <si>
    <t>2024-12-18</t>
  </si>
  <si>
    <t>C0379</t>
  </si>
  <si>
    <t>2024-06-03</t>
  </si>
  <si>
    <t>2024-06-26</t>
  </si>
  <si>
    <t>C0378</t>
  </si>
  <si>
    <t>2024-08-20</t>
  </si>
  <si>
    <t>C0377</t>
  </si>
  <si>
    <t>2024-12-13</t>
  </si>
  <si>
    <t>C0376</t>
  </si>
  <si>
    <t>2024-07-03</t>
  </si>
  <si>
    <t>C0375</t>
  </si>
  <si>
    <t>C0374</t>
  </si>
  <si>
    <t>2025-02-28</t>
  </si>
  <si>
    <t>C0373</t>
  </si>
  <si>
    <t>2024-07-12</t>
  </si>
  <si>
    <t>2024-07-21</t>
  </si>
  <si>
    <t>C0372</t>
  </si>
  <si>
    <t>2024-10-24</t>
  </si>
  <si>
    <t>C0371</t>
  </si>
  <si>
    <t>2025-03-04</t>
  </si>
  <si>
    <t>C0370</t>
  </si>
  <si>
    <t>2024-12-08</t>
  </si>
  <si>
    <t>C0369</t>
  </si>
  <si>
    <t>2025-04-16</t>
  </si>
  <si>
    <t>C0368</t>
  </si>
  <si>
    <t>2024-09-27</t>
  </si>
  <si>
    <t>C0367</t>
  </si>
  <si>
    <t>2025-05-09</t>
  </si>
  <si>
    <t>C0366</t>
  </si>
  <si>
    <t>2024-06-17</t>
  </si>
  <si>
    <t>C0365</t>
  </si>
  <si>
    <t>2025-05-29</t>
  </si>
  <si>
    <t>C0364</t>
  </si>
  <si>
    <t>C0363</t>
  </si>
  <si>
    <t>2025-05-06</t>
  </si>
  <si>
    <t>C0362</t>
  </si>
  <si>
    <t>2024-07-02</t>
  </si>
  <si>
    <t>2024-07-16</t>
  </si>
  <si>
    <t>C0361</t>
  </si>
  <si>
    <t>C0360</t>
  </si>
  <si>
    <t>2025-03-27</t>
  </si>
  <si>
    <t>C0359</t>
  </si>
  <si>
    <t>2025-02-23</t>
  </si>
  <si>
    <t>C0358</t>
  </si>
  <si>
    <t>2024-09-20</t>
  </si>
  <si>
    <t>C0357</t>
  </si>
  <si>
    <t>2024-06-11</t>
  </si>
  <si>
    <t>C0356</t>
  </si>
  <si>
    <t>2024-08-31</t>
  </si>
  <si>
    <t>C0355</t>
  </si>
  <si>
    <t>2024-06-21</t>
  </si>
  <si>
    <t>C0354</t>
  </si>
  <si>
    <t>2024-07-28</t>
  </si>
  <si>
    <t>C0353</t>
  </si>
  <si>
    <t>2024-11-14</t>
  </si>
  <si>
    <t>C0352</t>
  </si>
  <si>
    <t>2025-05-11</t>
  </si>
  <si>
    <t>C0351</t>
  </si>
  <si>
    <t>C0350</t>
  </si>
  <si>
    <t>C0349</t>
  </si>
  <si>
    <t>2024-12-03</t>
  </si>
  <si>
    <t>C0348</t>
  </si>
  <si>
    <t>2025-02-07</t>
  </si>
  <si>
    <t>2025-02-26</t>
  </si>
  <si>
    <t>C0347</t>
  </si>
  <si>
    <t>2024-06-27</t>
  </si>
  <si>
    <t>C0346</t>
  </si>
  <si>
    <t>2025-01-10</t>
  </si>
  <si>
    <t>C0345</t>
  </si>
  <si>
    <t>C0344</t>
  </si>
  <si>
    <t>C0343</t>
  </si>
  <si>
    <t>2024-11-27</t>
  </si>
  <si>
    <t>C0342</t>
  </si>
  <si>
    <t>2024-07-13</t>
  </si>
  <si>
    <t>C0341</t>
  </si>
  <si>
    <t>2025-01-22</t>
  </si>
  <si>
    <t>C0340</t>
  </si>
  <si>
    <t>2025-03-09</t>
  </si>
  <si>
    <t>C0339</t>
  </si>
  <si>
    <t>2025-05-07</t>
  </si>
  <si>
    <t>C0338</t>
  </si>
  <si>
    <t>2025-02-13</t>
  </si>
  <si>
    <t>C0337</t>
  </si>
  <si>
    <t>2024-07-30</t>
  </si>
  <si>
    <t>C0336</t>
  </si>
  <si>
    <t>C0335</t>
  </si>
  <si>
    <t>2025-02-04</t>
  </si>
  <si>
    <t>2025-02-05</t>
  </si>
  <si>
    <t>C0334</t>
  </si>
  <si>
    <t>2024-07-11</t>
  </si>
  <si>
    <t>C0333</t>
  </si>
  <si>
    <t>2024-06-24</t>
  </si>
  <si>
    <t>C0332</t>
  </si>
  <si>
    <t>2024-11-12</t>
  </si>
  <si>
    <t>C0331</t>
  </si>
  <si>
    <t>2025-04-28</t>
  </si>
  <si>
    <t>2025-05-15</t>
  </si>
  <si>
    <t>C0330</t>
  </si>
  <si>
    <t>C0329</t>
  </si>
  <si>
    <t>2024-07-26</t>
  </si>
  <si>
    <t>2024-08-07</t>
  </si>
  <si>
    <t>C0328</t>
  </si>
  <si>
    <t>2024-10-30</t>
  </si>
  <si>
    <t>C0327</t>
  </si>
  <si>
    <t>C0326</t>
  </si>
  <si>
    <t>2024-10-17</t>
  </si>
  <si>
    <t>C0325</t>
  </si>
  <si>
    <t>C0324</t>
  </si>
  <si>
    <t>2025-01-18</t>
  </si>
  <si>
    <t>C0323</t>
  </si>
  <si>
    <t>2025-05-23</t>
  </si>
  <si>
    <t>C0322</t>
  </si>
  <si>
    <t>2024-11-07</t>
  </si>
  <si>
    <t>C0321</t>
  </si>
  <si>
    <t>C0320</t>
  </si>
  <si>
    <t>C0319</t>
  </si>
  <si>
    <t>2024-07-08</t>
  </si>
  <si>
    <t>C0318</t>
  </si>
  <si>
    <t>C0317</t>
  </si>
  <si>
    <t>2024-08-19</t>
  </si>
  <si>
    <t>2024-08-27</t>
  </si>
  <si>
    <t>C0316</t>
  </si>
  <si>
    <t>2024-12-14</t>
  </si>
  <si>
    <t>2024-12-30</t>
  </si>
  <si>
    <t>C0315</t>
  </si>
  <si>
    <t>2024-09-03</t>
  </si>
  <si>
    <t>C0314</t>
  </si>
  <si>
    <t>2025-04-03</t>
  </si>
  <si>
    <t>C0313</t>
  </si>
  <si>
    <t>2024-06-28</t>
  </si>
  <si>
    <t>C0312</t>
  </si>
  <si>
    <t>C0311</t>
  </si>
  <si>
    <t>2025-01-03</t>
  </si>
  <si>
    <t>C0310</t>
  </si>
  <si>
    <t>C0309</t>
  </si>
  <si>
    <t>C0308</t>
  </si>
  <si>
    <t>C0307</t>
  </si>
  <si>
    <t>C0306</t>
  </si>
  <si>
    <t>2024-06-12</t>
  </si>
  <si>
    <t>C0305</t>
  </si>
  <si>
    <t>2024-07-24</t>
  </si>
  <si>
    <t>C0304</t>
  </si>
  <si>
    <t>C0303</t>
  </si>
  <si>
    <t>2024-11-02</t>
  </si>
  <si>
    <t>C0302</t>
  </si>
  <si>
    <t>C0301</t>
  </si>
  <si>
    <t>C0300</t>
  </si>
  <si>
    <t>C0299</t>
  </si>
  <si>
    <t>2024-12-01</t>
  </si>
  <si>
    <t>C0298</t>
  </si>
  <si>
    <t>2024-10-06</t>
  </si>
  <si>
    <t>C0297</t>
  </si>
  <si>
    <t>2024-09-14</t>
  </si>
  <si>
    <t>C0296</t>
  </si>
  <si>
    <t>2025-01-28</t>
  </si>
  <si>
    <t>C0295</t>
  </si>
  <si>
    <t>2024-12-15</t>
  </si>
  <si>
    <t>C0294</t>
  </si>
  <si>
    <t>2025-03-07</t>
  </si>
  <si>
    <t>C0293</t>
  </si>
  <si>
    <t>C0292</t>
  </si>
  <si>
    <t>2025-01-25</t>
  </si>
  <si>
    <t>C0291</t>
  </si>
  <si>
    <t>2024-08-28</t>
  </si>
  <si>
    <t>2024-09-24</t>
  </si>
  <si>
    <t>C0290</t>
  </si>
  <si>
    <t>2024-11-06</t>
  </si>
  <si>
    <t>C0289</t>
  </si>
  <si>
    <t>C0288</t>
  </si>
  <si>
    <t>C0287</t>
  </si>
  <si>
    <t>2024-09-21</t>
  </si>
  <si>
    <t>C0286</t>
  </si>
  <si>
    <t>2025-02-25</t>
  </si>
  <si>
    <t>C0285</t>
  </si>
  <si>
    <t>C0284</t>
  </si>
  <si>
    <t>C0283</t>
  </si>
  <si>
    <t>C0282</t>
  </si>
  <si>
    <t>C0281</t>
  </si>
  <si>
    <t>2025-03-24</t>
  </si>
  <si>
    <t>C0280</t>
  </si>
  <si>
    <t>2024-08-22</t>
  </si>
  <si>
    <t>C0279</t>
  </si>
  <si>
    <t>C0278</t>
  </si>
  <si>
    <t>2024-07-05</t>
  </si>
  <si>
    <t>C0277</t>
  </si>
  <si>
    <t>C0276</t>
  </si>
  <si>
    <t>2024-08-10</t>
  </si>
  <si>
    <t>C0275</t>
  </si>
  <si>
    <t>2025-02-03</t>
  </si>
  <si>
    <t>C0274</t>
  </si>
  <si>
    <t>2024-08-26</t>
  </si>
  <si>
    <t>C0273</t>
  </si>
  <si>
    <t>2025-04-25</t>
  </si>
  <si>
    <t>2025-05-04</t>
  </si>
  <si>
    <t>C0272</t>
  </si>
  <si>
    <t>2024-07-15</t>
  </si>
  <si>
    <t>C0271</t>
  </si>
  <si>
    <t>C0270</t>
  </si>
  <si>
    <t>2025-05-16</t>
  </si>
  <si>
    <t>C0269</t>
  </si>
  <si>
    <t>2024-08-29</t>
  </si>
  <si>
    <t>C0268</t>
  </si>
  <si>
    <t>C0267</t>
  </si>
  <si>
    <t>2025-01-12</t>
  </si>
  <si>
    <t>C0266</t>
  </si>
  <si>
    <t>C0265</t>
  </si>
  <si>
    <t>2025-02-17</t>
  </si>
  <si>
    <t>C0264</t>
  </si>
  <si>
    <t>2024-06-05</t>
  </si>
  <si>
    <t>C0263</t>
  </si>
  <si>
    <t>C0262</t>
  </si>
  <si>
    <t>2024-12-27</t>
  </si>
  <si>
    <t>C0261</t>
  </si>
  <si>
    <t>C0260</t>
  </si>
  <si>
    <t>C0259</t>
  </si>
  <si>
    <t>2025-03-11</t>
  </si>
  <si>
    <t>C0258</t>
  </si>
  <si>
    <t>2024-10-13</t>
  </si>
  <si>
    <t>C0257</t>
  </si>
  <si>
    <t>2025-04-21</t>
  </si>
  <si>
    <t>C0256</t>
  </si>
  <si>
    <t>C0255</t>
  </si>
  <si>
    <t>2025-04-17</t>
  </si>
  <si>
    <t>C0254</t>
  </si>
  <si>
    <t>C0253</t>
  </si>
  <si>
    <t>C0252</t>
  </si>
  <si>
    <t>2024-09-17</t>
  </si>
  <si>
    <t>C0251</t>
  </si>
  <si>
    <t>C0250</t>
  </si>
  <si>
    <t>C0249</t>
  </si>
  <si>
    <t>2024-10-21</t>
  </si>
  <si>
    <t>2024-11-10</t>
  </si>
  <si>
    <t>C0248</t>
  </si>
  <si>
    <t>2025-02-10</t>
  </si>
  <si>
    <t>C0247</t>
  </si>
  <si>
    <t>2024-06-18</t>
  </si>
  <si>
    <t>C0246</t>
  </si>
  <si>
    <t>C0245</t>
  </si>
  <si>
    <t>C0244</t>
  </si>
  <si>
    <t>C0243</t>
  </si>
  <si>
    <t>C0242</t>
  </si>
  <si>
    <t>C0241</t>
  </si>
  <si>
    <t>C0240</t>
  </si>
  <si>
    <t>C0239</t>
  </si>
  <si>
    <t>C0238</t>
  </si>
  <si>
    <t>2024-07-29</t>
  </si>
  <si>
    <t>2024-08-05</t>
  </si>
  <si>
    <t>C0237</t>
  </si>
  <si>
    <t>C0236</t>
  </si>
  <si>
    <t>2025-01-16</t>
  </si>
  <si>
    <t>C0235</t>
  </si>
  <si>
    <t>C0234</t>
  </si>
  <si>
    <t>2024-11-13</t>
  </si>
  <si>
    <t>C0233</t>
  </si>
  <si>
    <t>C0232</t>
  </si>
  <si>
    <t>C0231</t>
  </si>
  <si>
    <t>2025-01-20</t>
  </si>
  <si>
    <t>2025-02-15</t>
  </si>
  <si>
    <t>C0230</t>
  </si>
  <si>
    <t>2024-10-05</t>
  </si>
  <si>
    <t>C0229</t>
  </si>
  <si>
    <t>C0228</t>
  </si>
  <si>
    <t>C0227</t>
  </si>
  <si>
    <t>C0226</t>
  </si>
  <si>
    <t>2025-01-27</t>
  </si>
  <si>
    <t>C0225</t>
  </si>
  <si>
    <t>C0224</t>
  </si>
  <si>
    <t>2025-04-10</t>
  </si>
  <si>
    <t>2025-05-02</t>
  </si>
  <si>
    <t>C0223</t>
  </si>
  <si>
    <t>C0222</t>
  </si>
  <si>
    <t>2024-09-01</t>
  </si>
  <si>
    <t>C0221</t>
  </si>
  <si>
    <t>C0220</t>
  </si>
  <si>
    <t>C0219</t>
  </si>
  <si>
    <t>C0218</t>
  </si>
  <si>
    <t>2025-04-20</t>
  </si>
  <si>
    <t>C0217</t>
  </si>
  <si>
    <t>2024-08-01</t>
  </si>
  <si>
    <t>C0216</t>
  </si>
  <si>
    <t>C0215</t>
  </si>
  <si>
    <t>2024-10-14</t>
  </si>
  <si>
    <t>2024-11-11</t>
  </si>
  <si>
    <t>C0214</t>
  </si>
  <si>
    <t>C0213</t>
  </si>
  <si>
    <t>C0212</t>
  </si>
  <si>
    <t>2024-05-31</t>
  </si>
  <si>
    <t>C0211</t>
  </si>
  <si>
    <t>C0210</t>
  </si>
  <si>
    <t>C0209</t>
  </si>
  <si>
    <t>C0208</t>
  </si>
  <si>
    <t>2024-10-23</t>
  </si>
  <si>
    <t>C0207</t>
  </si>
  <si>
    <t>C0206</t>
  </si>
  <si>
    <t>C0205</t>
  </si>
  <si>
    <t>C0204</t>
  </si>
  <si>
    <t>C0203</t>
  </si>
  <si>
    <t>2025-03-12</t>
  </si>
  <si>
    <t>C0202</t>
  </si>
  <si>
    <t>C0201</t>
  </si>
  <si>
    <t>2025-05-05</t>
  </si>
  <si>
    <t>C0200</t>
  </si>
  <si>
    <t>C0199</t>
  </si>
  <si>
    <t>2025-05-24</t>
  </si>
  <si>
    <t>C0198</t>
  </si>
  <si>
    <t>C0197</t>
  </si>
  <si>
    <t>C0196</t>
  </si>
  <si>
    <t>C0195</t>
  </si>
  <si>
    <t>C0194</t>
  </si>
  <si>
    <t>C0193</t>
  </si>
  <si>
    <t>C0192</t>
  </si>
  <si>
    <t>2025-03-23</t>
  </si>
  <si>
    <t>C0191</t>
  </si>
  <si>
    <t>C0190</t>
  </si>
  <si>
    <t>2024-12-19</t>
  </si>
  <si>
    <t>C0189</t>
  </si>
  <si>
    <t>C0188</t>
  </si>
  <si>
    <t>C0187</t>
  </si>
  <si>
    <t>C0186</t>
  </si>
  <si>
    <t>2024-07-23</t>
  </si>
  <si>
    <t>C0185</t>
  </si>
  <si>
    <t>2025-02-24</t>
  </si>
  <si>
    <t>C0184</t>
  </si>
  <si>
    <t>2024-09-26</t>
  </si>
  <si>
    <t>C0183</t>
  </si>
  <si>
    <t>C0182</t>
  </si>
  <si>
    <t>2025-03-25</t>
  </si>
  <si>
    <t>C0181</t>
  </si>
  <si>
    <t>2024-09-30</t>
  </si>
  <si>
    <t>C0180</t>
  </si>
  <si>
    <t>2025-01-08</t>
  </si>
  <si>
    <t>C0179</t>
  </si>
  <si>
    <t>C0178</t>
  </si>
  <si>
    <t>2024-10-03</t>
  </si>
  <si>
    <t>C0177</t>
  </si>
  <si>
    <t>C0176</t>
  </si>
  <si>
    <t>C0175</t>
  </si>
  <si>
    <t>C0174</t>
  </si>
  <si>
    <t>2025-04-27</t>
  </si>
  <si>
    <t>C0173</t>
  </si>
  <si>
    <t>C0172</t>
  </si>
  <si>
    <t>2025-03-21</t>
  </si>
  <si>
    <t>C0171</t>
  </si>
  <si>
    <t>C0170</t>
  </si>
  <si>
    <t>C0169</t>
  </si>
  <si>
    <t>C0168</t>
  </si>
  <si>
    <t>2024-08-04</t>
  </si>
  <si>
    <t>C0167</t>
  </si>
  <si>
    <t>C0166</t>
  </si>
  <si>
    <t>2024-09-06</t>
  </si>
  <si>
    <t>C0165</t>
  </si>
  <si>
    <t>C0164</t>
  </si>
  <si>
    <t>2025-04-08</t>
  </si>
  <si>
    <t>C0163</t>
  </si>
  <si>
    <t>2024-10-02</t>
  </si>
  <si>
    <t>C0162</t>
  </si>
  <si>
    <t>2024-07-25</t>
  </si>
  <si>
    <t>C0161</t>
  </si>
  <si>
    <t>2025-05-18</t>
  </si>
  <si>
    <t>C0160</t>
  </si>
  <si>
    <t>C0159</t>
  </si>
  <si>
    <t>C0158</t>
  </si>
  <si>
    <t>C0157</t>
  </si>
  <si>
    <t>C0156</t>
  </si>
  <si>
    <t>C0155</t>
  </si>
  <si>
    <t>C0154</t>
  </si>
  <si>
    <t>2024-11-16</t>
  </si>
  <si>
    <t>C0153</t>
  </si>
  <si>
    <t>C0152</t>
  </si>
  <si>
    <t>2025-03-29</t>
  </si>
  <si>
    <t>C0151</t>
  </si>
  <si>
    <t>C0150</t>
  </si>
  <si>
    <t>C0149</t>
  </si>
  <si>
    <t>C0148</t>
  </si>
  <si>
    <t>2024-10-12</t>
  </si>
  <si>
    <t>C0147</t>
  </si>
  <si>
    <t>2024-06-22</t>
  </si>
  <si>
    <t>C0146</t>
  </si>
  <si>
    <t>2025-01-15</t>
  </si>
  <si>
    <t>C0145</t>
  </si>
  <si>
    <t>C0144</t>
  </si>
  <si>
    <t>2024-08-16</t>
  </si>
  <si>
    <t>C0143</t>
  </si>
  <si>
    <t>C0142</t>
  </si>
  <si>
    <t>C0141</t>
  </si>
  <si>
    <t>2024-10-31</t>
  </si>
  <si>
    <t>C0140</t>
  </si>
  <si>
    <t>C0139</t>
  </si>
  <si>
    <t>2024-11-03</t>
  </si>
  <si>
    <t>C0138</t>
  </si>
  <si>
    <t>C0137</t>
  </si>
  <si>
    <t>2025-05-25</t>
  </si>
  <si>
    <t>C0136</t>
  </si>
  <si>
    <t>2025-03-01</t>
  </si>
  <si>
    <t>C0135</t>
  </si>
  <si>
    <t>C0134</t>
  </si>
  <si>
    <t>2024-12-21</t>
  </si>
  <si>
    <t>C0133</t>
  </si>
  <si>
    <t>2024-07-04</t>
  </si>
  <si>
    <t>C0132</t>
  </si>
  <si>
    <t>2024-08-23</t>
  </si>
  <si>
    <t>C0131</t>
  </si>
  <si>
    <t>C0130</t>
  </si>
  <si>
    <t>C0129</t>
  </si>
  <si>
    <t>C0128</t>
  </si>
  <si>
    <t>C0127</t>
  </si>
  <si>
    <t>C0126</t>
  </si>
  <si>
    <t>C0125</t>
  </si>
  <si>
    <t>C0124</t>
  </si>
  <si>
    <t>C0123</t>
  </si>
  <si>
    <t>C0122</t>
  </si>
  <si>
    <t>C0121</t>
  </si>
  <si>
    <t>C0120</t>
  </si>
  <si>
    <t>C0119</t>
  </si>
  <si>
    <t>C0118</t>
  </si>
  <si>
    <t>C0117</t>
  </si>
  <si>
    <t>C0116</t>
  </si>
  <si>
    <t>2024-05-29</t>
  </si>
  <si>
    <t>C0115</t>
  </si>
  <si>
    <t>C0114</t>
  </si>
  <si>
    <t>C0113</t>
  </si>
  <si>
    <t>C0112</t>
  </si>
  <si>
    <t>C0111</t>
  </si>
  <si>
    <t>2025-05-17</t>
  </si>
  <si>
    <t>C0110</t>
  </si>
  <si>
    <t>C0109</t>
  </si>
  <si>
    <t>C0108</t>
  </si>
  <si>
    <t>2025-02-02</t>
  </si>
  <si>
    <t>C0107</t>
  </si>
  <si>
    <t>2024-12-25</t>
  </si>
  <si>
    <t>C0106</t>
  </si>
  <si>
    <t>C0105</t>
  </si>
  <si>
    <t>2025-04-24</t>
  </si>
  <si>
    <t>C0104</t>
  </si>
  <si>
    <t>C0103</t>
  </si>
  <si>
    <t>C0102</t>
  </si>
  <si>
    <t>C0101</t>
  </si>
  <si>
    <t>2024-06-01</t>
  </si>
  <si>
    <t>C0100</t>
  </si>
  <si>
    <t>C0099</t>
  </si>
  <si>
    <t>2025-02-19</t>
  </si>
  <si>
    <t>C0098</t>
  </si>
  <si>
    <t>2025-01-14</t>
  </si>
  <si>
    <t>C0097</t>
  </si>
  <si>
    <t>C0096</t>
  </si>
  <si>
    <t>C0095</t>
  </si>
  <si>
    <t>C0094</t>
  </si>
  <si>
    <t>C0093</t>
  </si>
  <si>
    <t>C0092</t>
  </si>
  <si>
    <t>C0091</t>
  </si>
  <si>
    <t>2025-04-05</t>
  </si>
  <si>
    <t>C0090</t>
  </si>
  <si>
    <t>C0089</t>
  </si>
  <si>
    <t>2025-05-10</t>
  </si>
  <si>
    <t>C0088</t>
  </si>
  <si>
    <t>C0087</t>
  </si>
  <si>
    <t>2025-02-16</t>
  </si>
  <si>
    <t>C0086</t>
  </si>
  <si>
    <t>C0085</t>
  </si>
  <si>
    <t>2024-09-11</t>
  </si>
  <si>
    <t>C0084</t>
  </si>
  <si>
    <t>C0083</t>
  </si>
  <si>
    <t>C0082</t>
  </si>
  <si>
    <t>2025-01-09</t>
  </si>
  <si>
    <t>C0081</t>
  </si>
  <si>
    <t>C0080</t>
  </si>
  <si>
    <t>2024-09-15</t>
  </si>
  <si>
    <t>C0079</t>
  </si>
  <si>
    <t>2024-10-04</t>
  </si>
  <si>
    <t>C0078</t>
  </si>
  <si>
    <t>C0077</t>
  </si>
  <si>
    <t>2025-03-16</t>
  </si>
  <si>
    <t>C0076</t>
  </si>
  <si>
    <t>C0075</t>
  </si>
  <si>
    <t>C0074</t>
  </si>
  <si>
    <t>C0073</t>
  </si>
  <si>
    <t>C0072</t>
  </si>
  <si>
    <t>2024-12-04</t>
  </si>
  <si>
    <t>C0071</t>
  </si>
  <si>
    <t>C0070</t>
  </si>
  <si>
    <t>C0069</t>
  </si>
  <si>
    <t>C0068</t>
  </si>
  <si>
    <t>2025-05-19</t>
  </si>
  <si>
    <t>C0067</t>
  </si>
  <si>
    <t>C0066</t>
  </si>
  <si>
    <t>C0065</t>
  </si>
  <si>
    <t>C0064</t>
  </si>
  <si>
    <t>C0063</t>
  </si>
  <si>
    <t>C0062</t>
  </si>
  <si>
    <t>2024-07-17</t>
  </si>
  <si>
    <t>C0061</t>
  </si>
  <si>
    <t>C0060</t>
  </si>
  <si>
    <t>C0059</t>
  </si>
  <si>
    <t>C0058</t>
  </si>
  <si>
    <t>C0057</t>
  </si>
  <si>
    <t>2024-10-20</t>
  </si>
  <si>
    <t>C0056</t>
  </si>
  <si>
    <t>C0055</t>
  </si>
  <si>
    <t>C0054</t>
  </si>
  <si>
    <t>C0053</t>
  </si>
  <si>
    <t>C0052</t>
  </si>
  <si>
    <t>C0051</t>
  </si>
  <si>
    <t>2024-06-13</t>
  </si>
  <si>
    <t>C0050</t>
  </si>
  <si>
    <t>2024-09-13</t>
  </si>
  <si>
    <t>C0049</t>
  </si>
  <si>
    <t>C0048</t>
  </si>
  <si>
    <t>C0047</t>
  </si>
  <si>
    <t>C0046</t>
  </si>
  <si>
    <t>C0045</t>
  </si>
  <si>
    <t>C0044</t>
  </si>
  <si>
    <t>C0043</t>
  </si>
  <si>
    <t>C0042</t>
  </si>
  <si>
    <t>C0041</t>
  </si>
  <si>
    <t>2025-03-14</t>
  </si>
  <si>
    <t>C0040</t>
  </si>
  <si>
    <t>C0039</t>
  </si>
  <si>
    <t>C0038</t>
  </si>
  <si>
    <t>C0037</t>
  </si>
  <si>
    <t>C0036</t>
  </si>
  <si>
    <t>C0035</t>
  </si>
  <si>
    <t>2024-12-17</t>
  </si>
  <si>
    <t>C0034</t>
  </si>
  <si>
    <t>C0033</t>
  </si>
  <si>
    <t>C0032</t>
  </si>
  <si>
    <t>2024-11-21</t>
  </si>
  <si>
    <t>C0031</t>
  </si>
  <si>
    <t>C0030</t>
  </si>
  <si>
    <t>C0029</t>
  </si>
  <si>
    <t>C0028</t>
  </si>
  <si>
    <t>C0027</t>
  </si>
  <si>
    <t>C0026</t>
  </si>
  <si>
    <t>C0025</t>
  </si>
  <si>
    <t>C0024</t>
  </si>
  <si>
    <t>C0023</t>
  </si>
  <si>
    <t>C0022</t>
  </si>
  <si>
    <t>C0021</t>
  </si>
  <si>
    <t>2024-12-16</t>
  </si>
  <si>
    <t>C0020</t>
  </si>
  <si>
    <t>C0019</t>
  </si>
  <si>
    <t>C0018</t>
  </si>
  <si>
    <t>C0017</t>
  </si>
  <si>
    <t>2024-11-24</t>
  </si>
  <si>
    <t>C0016</t>
  </si>
  <si>
    <t>C0015</t>
  </si>
  <si>
    <t>C0014</t>
  </si>
  <si>
    <t>C0013</t>
  </si>
  <si>
    <t>C0012</t>
  </si>
  <si>
    <t>C0011</t>
  </si>
  <si>
    <t>C0010</t>
  </si>
  <si>
    <t>C0009</t>
  </si>
  <si>
    <t>C0008</t>
  </si>
  <si>
    <t>C0007</t>
  </si>
  <si>
    <t>C0006</t>
  </si>
  <si>
    <t>C0005</t>
  </si>
  <si>
    <t>C0004</t>
  </si>
  <si>
    <t>C0003</t>
  </si>
  <si>
    <t>C0002</t>
  </si>
  <si>
    <t>C0001</t>
  </si>
  <si>
    <t>Client_ID</t>
  </si>
  <si>
    <t>Age</t>
  </si>
  <si>
    <t>Region</t>
  </si>
  <si>
    <t>Purchase_Date</t>
  </si>
  <si>
    <t>Total_Spent (€)</t>
  </si>
  <si>
    <t>Contact_Date</t>
  </si>
  <si>
    <t>Purchase_Flag</t>
  </si>
  <si>
    <t>Lombardy</t>
  </si>
  <si>
    <t>Piedmont</t>
  </si>
  <si>
    <t>Apulia</t>
  </si>
  <si>
    <t>Sardinia</t>
  </si>
  <si>
    <t>Sicily</t>
  </si>
  <si>
    <t>Tuscany</t>
  </si>
  <si>
    <t>Trentino-South Tyrol</t>
  </si>
  <si>
    <t>Aosta Valley</t>
  </si>
  <si>
    <t>Purchase_Year</t>
  </si>
  <si>
    <t>Purchase_Month</t>
  </si>
  <si>
    <t>Age_Group</t>
  </si>
  <si>
    <t>Purchase_Month_Number</t>
  </si>
  <si>
    <t>Total_Spent_Sum (€)</t>
  </si>
  <si>
    <t>Min</t>
  </si>
  <si>
    <t>Max</t>
  </si>
  <si>
    <t>Contact_Cost (€)</t>
  </si>
  <si>
    <t>Mean</t>
  </si>
  <si>
    <t>Median</t>
  </si>
  <si>
    <t>Standard Deviation</t>
  </si>
  <si>
    <t>Customer Count</t>
  </si>
  <si>
    <t>Young Adults</t>
  </si>
  <si>
    <t>Emerging Professionals</t>
  </si>
  <si>
    <t>Established Adults</t>
  </si>
  <si>
    <t>Mature Customers</t>
  </si>
  <si>
    <t>Purchased</t>
  </si>
  <si>
    <t>Not Purchased</t>
  </si>
  <si>
    <t>• The average customer age is 36, with a wide range from 18 to 54, indicating a diverse customer base.</t>
  </si>
  <si>
    <t>• The average total spent by buyers is approximately €20, with relatively low variability (std dev: €7.9).</t>
  </si>
  <si>
    <t>• Contact costs are stable, with a mean of €6 and low std dev (€2), suggesting consistent outreach investment.</t>
  </si>
  <si>
    <t>• The dataset shows a fairly balanced geographic distribution, with no region exceeding 7% of total customers.</t>
  </si>
  <si>
    <t>• Lazio, Molise, and Calabria have slightly higher representation, each with more than 30 customers.</t>
  </si>
  <si>
    <t>• Smaller regions like Liguria and Friuli-Venezia Giulia are underrepresented, with fewer than 20 customers each.</t>
  </si>
  <si>
    <t>• Young Adults and Emerging Professionals are also well represented, with 111 and 134 customers respectively.</t>
  </si>
  <si>
    <t>• Mature Customers (51+) are underrepresented, suggesting limited engagement from older age segments.</t>
  </si>
  <si>
    <t>• The majority of customers are established adults (ages 36–50), accounting for 42.2% of the total dataset.</t>
  </si>
  <si>
    <t>• The overall conversion rate is 49.4%, which can serve as a benchmark when analyzing specific customer segments or time periods.</t>
  </si>
  <si>
    <t>Key Insights - Purchase Outcome</t>
  </si>
  <si>
    <t>Key Insights - Customers by Region</t>
  </si>
  <si>
    <t>Key Insights - Customers by Age Group</t>
  </si>
  <si>
    <t>Key Insights - Statistical Summary</t>
  </si>
  <si>
    <t>• The dataset is almost evenly split between purchasers (247) and non-purchasers (253), allowing balanced analysis of conversion patterns.</t>
  </si>
  <si>
    <t>Purchase_Month_Label</t>
  </si>
  <si>
    <t>01 - January</t>
  </si>
  <si>
    <t>02 - February</t>
  </si>
  <si>
    <t>03 - March</t>
  </si>
  <si>
    <t>04 - April</t>
  </si>
  <si>
    <t>05 - May</t>
  </si>
  <si>
    <t>06 - June</t>
  </si>
  <si>
    <t>07 - July</t>
  </si>
  <si>
    <t>08 - August</t>
  </si>
  <si>
    <t>09 - September</t>
  </si>
  <si>
    <t>10 - October</t>
  </si>
  <si>
    <t>11 - November</t>
  </si>
  <si>
    <t>12 - December</t>
  </si>
  <si>
    <t>Total</t>
  </si>
  <si>
    <t>Key Insights</t>
  </si>
  <si>
    <t>Value</t>
  </si>
  <si>
    <t>Notes</t>
  </si>
  <si>
    <t>Total Revenue</t>
  </si>
  <si>
    <t>Sum of Total_Spent (€) for converted users</t>
  </si>
  <si>
    <t>Conversion Rate</t>
  </si>
  <si>
    <t>Percentage of customers who completed a purchase</t>
  </si>
  <si>
    <t>Average Revenue per Converted Customer</t>
  </si>
  <si>
    <t>Average amount spent by converted customers only</t>
  </si>
  <si>
    <t>Average Contact Cost per Customer</t>
  </si>
  <si>
    <t xml:space="preserve">	Average cost to reach each customer contacted</t>
  </si>
  <si>
    <t>Cost-to-Revenue Ratio</t>
  </si>
  <si>
    <t>Measures how much contact cost is spent for each € earned</t>
  </si>
  <si>
    <t>• Total revenue from converted customers is €4.935,56, providing a solid baseline for evaluating marketing cost efficiency.</t>
  </si>
  <si>
    <t>Purchase_Flag (Sum)</t>
  </si>
  <si>
    <t>Client_ID (Count)</t>
  </si>
  <si>
    <t>Avg Revenue per Customer</t>
  </si>
  <si>
    <t>Strategic Takeaway</t>
  </si>
  <si>
    <t>• Emerging Professionals have the lowest conversion rate and spend the least, with the highest cost-to-revenue ratio. This makes them the least efficient segment.</t>
  </si>
  <si>
    <t>• Established Adults show a solid balance between revenue and marketing efficiency, positioning them as a reliable and valuable target segment.</t>
  </si>
  <si>
    <t>• Mature Customers are the most responsive and top performing segment, with the highest conversion rate, strong average revenue and lowest cost-to-revenue ratio.</t>
  </si>
  <si>
    <t>• Young Adults convert fairly well, but their low average spend and high cost ratio reduce their overall profitability.</t>
  </si>
  <si>
    <t>• Conversion rate is 49.4%, indicating a near-even split between buyers and non-buyers, ideal for analyzing conversion drivers.</t>
  </si>
  <si>
    <t>• Average revenue per converted customer is €19.98, this data could help define customer prioritization strategies.</t>
  </si>
  <si>
    <t>• Average contact cost per customer is €6.09, which gives insight into the marketing investment required per lead.</t>
  </si>
  <si>
    <t>• The cost-to-revenue ratio is 30.3% (every €1 earned implies a €0.30 contact cost), this is a useful metric for assessing ROI.</t>
  </si>
  <si>
    <t>Contact_Cost_Sum (€)</t>
  </si>
  <si>
    <t>• Marketing strategies should therefore aim to sustain engagement during summer and capitalize on spring and autumn demand cycles with targeted promotions.</t>
  </si>
  <si>
    <t>• November and May are the top-performing months, showing strong sales momentum in late spring and toward the end of the year.</t>
  </si>
  <si>
    <t>• April and October also register solid performance, indicating that seasonal transitions tend to stimulate customer purchases.</t>
  </si>
  <si>
    <t>• The lowest sales levels occur in June and December, suggesting possible post-promotion fatigue or reduced engagement following major spending periods.</t>
  </si>
  <si>
    <t>• Overall, the seasonal pattern highlights two peaks: spring and autumn, separated by weaker activity during summer and early winter months.</t>
  </si>
  <si>
    <t>Mature Customers clearly outperform all other segments, combining strong responsiveness with the most efficient cost structure. Emerging Professionals, on the other hand, show weak ROI and limited revenue contribution, making them the least attractive target for marketing investment.</t>
  </si>
  <si>
    <t>• Regions such as Trentino-South Tyrol and Emilia-Romagna display diversified contribution across all age groups, suggesting broader market maturity and stable demand.</t>
  </si>
  <si>
    <t>• Southern regions like Apulia and Calabria show strong engagement from Emerging Professionals, indicating potential for expansion among younger demographics.</t>
  </si>
  <si>
    <t>• Low-performing areas include Umbria (€97.94), Marche (€129.21), and Campania (€154.82), where both the customer base and purchase incidence remain limited.</t>
  </si>
  <si>
    <t>• The absence of certain age groups in multiple regions (e.g., no Mature Customers in Lombardy or Veneto) signals market gaps rather than missing data — useful insight for targeted acquisition strategies.</t>
  </si>
  <si>
    <t>• Aosta Valley (€388.78), Calabria (€382.08), and Piedmont (€378.81) are the top-performing regions, combining both mature and young customer engagement with balanced demographic coverage.</t>
  </si>
  <si>
    <t>• Established Adults clearly dominate across regions, generating €2,270.53 in total revenue (46% of overall sales). Their consistent presence across most areas confirms them as the core profit segment.</t>
  </si>
  <si>
    <t>The strongest regional performance comes from smaller but highly engaged markets such as Aosta Valley and Calabria, where multi-segment participation drives efficiency. The Established Adults segment remains the main revenue driver across nearly all territories, while Emerging Professionals show promising traction in southern Italy. Future marketing efforts should reinforce loyalty in top regions and expand underrepresented age segments (e.g., Mature Customers in northern regions) to improve geographic balance and total market penetration.</t>
  </si>
  <si>
    <t>• The relationship between marketing spend and sales performance is statistically negligible (R² = 0.0094), indicating that higher contact costs do not lead to higher sales.</t>
  </si>
  <si>
    <t>• This pattern implies that marketing effectiveness is driven by other factors (such as demographic targeting, message quality, or timing), rather than raw contact investment.</t>
  </si>
  <si>
    <r>
      <t xml:space="preserve">• The negative slope suggests a slight tendency toward inefficiency: in some cases, spending more to reach customers may even correspond to </t>
    </r>
    <r>
      <rPr>
        <i/>
        <sz val="12"/>
        <color theme="1"/>
        <rFont val="Aptos Narrow"/>
        <scheme val="minor"/>
      </rPr>
      <t>lower</t>
    </r>
    <r>
      <rPr>
        <sz val="12"/>
        <color theme="1"/>
        <rFont val="Aptos Narrow"/>
        <scheme val="minor"/>
      </rPr>
      <t xml:space="preserve"> purchase amounts.</t>
    </r>
  </si>
  <si>
    <t>• The marketing strategy may benefit from a budget reallocation toward more effective channels or customer segments (e.g., Established Adults or Mature Customers).</t>
  </si>
  <si>
    <t>There is no positive correlation between marketing expenditure and customer spending, suggesting diminishing returns on contact cost. Campaigns should be reassessed efficiency, focusing on data-driven targeting and content personalization rather than simply increasing contact budgets.</t>
  </si>
  <si>
    <t>KPI</t>
  </si>
  <si>
    <t>Interpretation</t>
  </si>
  <si>
    <t>R²</t>
  </si>
  <si>
    <t>0.0094</t>
  </si>
  <si>
    <t>Almost no correlation</t>
  </si>
  <si>
    <t>Slope (b)</t>
  </si>
  <si>
    <t>–0.321</t>
  </si>
  <si>
    <t>Slight negative trend</t>
  </si>
  <si>
    <t>Correlation type</t>
  </si>
  <si>
    <t>Negative / Very Weak</t>
  </si>
  <si>
    <t>Higher contact cost does not increase sales</t>
  </si>
  <si>
    <t>–</t>
  </si>
  <si>
    <t>Marketing spending shows diminishing returns</t>
  </si>
  <si>
    <t>Spending_Tier</t>
  </si>
  <si>
    <t>High Spender</t>
  </si>
  <si>
    <t>Low Spender</t>
  </si>
  <si>
    <t>Medium Spender</t>
  </si>
  <si>
    <t>Contact_Cost_Sum(€)</t>
  </si>
  <si>
    <t>• Medium Spenders contribute the largest share of total revenue (€3,112.52, ≈63% of total), maintaining a balanced cost ratio of 35%, making them a stable and valuable segment.</t>
  </si>
  <si>
    <t>• High Spenders generate €1,627.96 in total revenue with only €276.67 in contact costs (Cost-to-Revenue Ratio = 17%), resulting the most efficient and profitable tier.</t>
  </si>
  <si>
    <t>• Low Spenders account for just €195.08 in total spending but absorb €1,669.19 in costs (Cost-to-Revenue Ratio = 856%): a highly inefficient segment consuming disproportionate resources.</t>
  </si>
  <si>
    <t>Profitability is strongly concentrated among Medium and High Spenders. Marketing investments toward low-value customers generate poor returns and should be minimized. A data-driven reallocation of marketing spend could boost ROI by focusing on high-yield segments and reducing acquisition waste in the lowest tier.</t>
  </si>
  <si>
    <t>Core Integrated Insights</t>
  </si>
  <si>
    <t>Integrated Marketing Strategy</t>
  </si>
  <si>
    <t>Success Metrics to Monitor</t>
  </si>
  <si>
    <r>
      <t xml:space="preserve">• </t>
    </r>
    <r>
      <rPr>
        <b/>
        <sz val="12"/>
        <color theme="1"/>
        <rFont val="Aptos Narrow"/>
        <scheme val="minor"/>
      </rPr>
      <t>Customer segments</t>
    </r>
    <r>
      <rPr>
        <sz val="12"/>
        <color theme="1"/>
        <rFont val="Aptos Narrow"/>
        <scheme val="minor"/>
      </rPr>
      <t>: established Adults (36–50) and Mature Customers (51+) deliver the best economics; Emerging Professionals show the lowest conversion and weakest ROI.</t>
    </r>
  </si>
  <si>
    <r>
      <t xml:space="preserve">• </t>
    </r>
    <r>
      <rPr>
        <b/>
        <sz val="12"/>
        <color theme="1"/>
        <rFont val="Aptos Narrow"/>
        <scheme val="minor"/>
      </rPr>
      <t>Regional pattern</t>
    </r>
    <r>
      <rPr>
        <sz val="12"/>
        <color theme="1"/>
        <rFont val="Aptos Narrow"/>
        <scheme val="minor"/>
      </rPr>
      <t>: Aosta Valley and Calabria outperform; Umbria, Marche, Campania underperform; northern regions show opportunity to grow Mature customers.</t>
    </r>
  </si>
  <si>
    <r>
      <t xml:space="preserve">• </t>
    </r>
    <r>
      <rPr>
        <b/>
        <sz val="12"/>
        <color theme="1"/>
        <rFont val="Aptos Narrow"/>
        <scheme val="minor"/>
      </rPr>
      <t>Seasonality</t>
    </r>
    <r>
      <rPr>
        <sz val="12"/>
        <color theme="1"/>
        <rFont val="Aptos Narrow"/>
        <scheme val="minor"/>
      </rPr>
      <t>: peaks in May and November (also solid April and October); troughs in June and December.</t>
    </r>
  </si>
  <si>
    <r>
      <t xml:space="preserve">• </t>
    </r>
    <r>
      <rPr>
        <b/>
        <sz val="12"/>
        <color theme="1"/>
        <rFont val="Aptos Narrow"/>
        <scheme val="minor"/>
      </rPr>
      <t>Marketing efficiency</t>
    </r>
    <r>
      <rPr>
        <sz val="12"/>
        <color theme="1"/>
        <rFont val="Aptos Narrow"/>
        <scheme val="minor"/>
      </rPr>
      <t>: contact cost has no meaningful positive correlation with sales (R² = 0.0094); performance depends more on who we target and when than on spend volume.</t>
    </r>
  </si>
  <si>
    <r>
      <t>• </t>
    </r>
    <r>
      <rPr>
        <b/>
        <sz val="12"/>
        <color theme="1"/>
        <rFont val="Aptos Narrow"/>
        <scheme val="minor"/>
      </rPr>
      <t>Target and value focus</t>
    </r>
    <r>
      <rPr>
        <sz val="12"/>
        <color theme="1"/>
        <rFont val="Aptos Narrow"/>
        <family val="2"/>
        <scheme val="minor"/>
      </rPr>
      <t>: prioritize Established Adults and Mature segments within Medium/High Spenders; de-prioritize Low Spenders.</t>
    </r>
  </si>
  <si>
    <r>
      <t xml:space="preserve">• </t>
    </r>
    <r>
      <rPr>
        <b/>
        <sz val="12"/>
        <color theme="1"/>
        <rFont val="Aptos Narrow"/>
        <scheme val="minor"/>
      </rPr>
      <t>Regional plan</t>
    </r>
    <r>
      <rPr>
        <sz val="12"/>
        <color theme="1"/>
        <rFont val="Aptos Narrow"/>
        <family val="2"/>
        <scheme val="minor"/>
      </rPr>
      <t>: reinforce top regions (Aosta Valley, Calabria); expand underrepresented high-value segments (e.g., Mature in northern regions); keep low-performing areas on maintenance or test small, targeted pilots.</t>
    </r>
  </si>
  <si>
    <r>
      <t xml:space="preserve">• </t>
    </r>
    <r>
      <rPr>
        <b/>
        <sz val="12"/>
        <color theme="1"/>
        <rFont val="Aptos Narrow"/>
        <scheme val="minor"/>
      </rPr>
      <t>Timing</t>
    </r>
    <r>
      <rPr>
        <sz val="12"/>
        <color theme="1"/>
        <rFont val="Aptos Narrow"/>
        <family val="2"/>
        <scheme val="minor"/>
      </rPr>
      <t>: front-load campaigns in Apr–May and Oct–Nov; keep light always-on activity in summer; run post-November retention to mitigate the December dip.</t>
    </r>
  </si>
  <si>
    <r>
      <t xml:space="preserve">• </t>
    </r>
    <r>
      <rPr>
        <b/>
        <sz val="12"/>
        <color theme="1"/>
        <rFont val="Aptos Narrow"/>
        <scheme val="minor"/>
      </rPr>
      <t>Budget and execution</t>
    </r>
    <r>
      <rPr>
        <sz val="12"/>
        <color theme="1"/>
        <rFont val="Aptos Narrow"/>
        <family val="2"/>
        <scheme val="minor"/>
      </rPr>
      <t>: reallocate spend from low-ROI segments to efficient tiers/regions; use personalized messaging and tight ROI guardrails (pause or scale based on performance).</t>
    </r>
  </si>
  <si>
    <r>
      <t xml:space="preserve">• </t>
    </r>
    <r>
      <rPr>
        <b/>
        <sz val="12"/>
        <color theme="1"/>
        <rFont val="Aptos Narrow"/>
        <scheme val="minor"/>
      </rPr>
      <t>Profit drivers</t>
    </r>
    <r>
      <rPr>
        <sz val="12"/>
        <color theme="1"/>
        <rFont val="Aptos Narrow"/>
        <scheme val="minor"/>
      </rPr>
      <t>: revenue is concentrated in Medium &amp; High Spenders; High Spenders are the most efficient (Cost-to-Revenue 17%), while Low Spenders are highly inefficient (856%).</t>
    </r>
  </si>
  <si>
    <r>
      <t xml:space="preserve">• </t>
    </r>
    <r>
      <rPr>
        <b/>
        <sz val="12"/>
        <color theme="1"/>
        <rFont val="Aptos Narrow"/>
        <scheme val="minor"/>
      </rPr>
      <t>Conversion Rate</t>
    </r>
    <r>
      <rPr>
        <sz val="12"/>
        <color theme="1"/>
        <rFont val="Aptos Narrow"/>
        <family val="2"/>
        <scheme val="minor"/>
      </rPr>
      <t xml:space="preserve"> </t>
    </r>
    <r>
      <rPr>
        <b/>
        <sz val="12"/>
        <color theme="1"/>
        <rFont val="Aptos Narrow"/>
        <scheme val="minor"/>
      </rPr>
      <t xml:space="preserve">by segment </t>
    </r>
    <r>
      <rPr>
        <sz val="12"/>
        <color theme="1"/>
        <rFont val="Aptos Narrow"/>
        <family val="2"/>
        <scheme val="minor"/>
      </rPr>
      <t>(age/tier/region)</t>
    </r>
  </si>
  <si>
    <r>
      <t xml:space="preserve">• </t>
    </r>
    <r>
      <rPr>
        <b/>
        <sz val="12"/>
        <color theme="1"/>
        <rFont val="Aptos Narrow"/>
        <scheme val="minor"/>
      </rPr>
      <t>Cost-to-Revenue Ratio</t>
    </r>
    <r>
      <rPr>
        <sz val="12"/>
        <color theme="1"/>
        <rFont val="Aptos Narrow"/>
        <family val="2"/>
        <scheme val="minor"/>
      </rPr>
      <t xml:space="preserve"> </t>
    </r>
    <r>
      <rPr>
        <b/>
        <sz val="12"/>
        <color theme="1"/>
        <rFont val="Aptos Narrow"/>
        <scheme val="minor"/>
      </rPr>
      <t>by tier and region</t>
    </r>
  </si>
  <si>
    <r>
      <t xml:space="preserve">• </t>
    </r>
    <r>
      <rPr>
        <b/>
        <sz val="12"/>
        <color theme="1"/>
        <rFont val="Aptos Narrow"/>
        <scheme val="minor"/>
      </rPr>
      <t>Seasonal lift vs. baseline</t>
    </r>
    <r>
      <rPr>
        <sz val="12"/>
        <color theme="1"/>
        <rFont val="Aptos Narrow"/>
        <family val="2"/>
        <scheme val="minor"/>
      </rPr>
      <t xml:space="preserve"> (Apr–May, Oct–Nov)</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</si>
</sst>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
    <numFmt numFmtId="165" formatCode="#,##0.00\ &quot;€&quot;"/>
    <numFmt numFmtId="166" formatCode="0.0%"/>
  </numFmts>
  <fonts count="11" x14ac:knownFonts="1">
    <font>
      <sz val="12"/>
      <color theme="1"/>
      <name val="Aptos Narrow"/>
      <family val="2"/>
      <scheme val="minor"/>
    </font>
    <font>
      <b/>
      <sz val="12"/>
      <color theme="1"/>
      <name val="Aptos Narrow"/>
      <family val="2"/>
      <scheme val="minor"/>
    </font>
    <font>
      <b/>
      <sz val="12"/>
      <color theme="1"/>
      <name val="Aptos Narrow"/>
      <scheme val="minor"/>
    </font>
    <font>
      <sz val="12"/>
      <color theme="1"/>
      <name val="Aptos Narrow"/>
      <family val="2"/>
      <scheme val="minor"/>
    </font>
    <font>
      <sz val="12"/>
      <color theme="1"/>
      <name val="Aptos Narrow"/>
      <scheme val="minor"/>
    </font>
    <font>
      <i/>
      <sz val="12"/>
      <color theme="1"/>
      <name val="Aptos Narrow"/>
      <scheme val="minor"/>
    </font>
    <font>
      <sz val="12"/>
      <color theme="1"/>
      <name val="Calibri"/>
      <family val="2"/>
    </font>
    <font>
      <b/>
      <sz val="12"/>
      <name val="Calibri"/>
      <family val="2"/>
    </font>
    <font>
      <b/>
      <sz val="12"/>
      <color theme="1"/>
      <name val="Calibri"/>
      <family val="2"/>
    </font>
    <font>
      <u/>
      <sz val="12"/>
      <color theme="1"/>
      <name val="Calibri"/>
      <family val="2"/>
    </font>
    <font>
      <b/>
      <sz val="13.5"/>
      <color theme="1"/>
      <name val="Calibri"/>
      <family val="2"/>
    </font>
  </fonts>
  <fills count="12">
    <fill>
      <patternFill patternType="none"/>
    </fill>
    <fill>
      <patternFill patternType="gray125"/>
    </fill>
    <fill>
      <patternFill patternType="solid">
        <fgColor theme="0" tint="-0.14999847407452621"/>
        <bgColor indexed="64"/>
      </patternFill>
    </fill>
    <fill>
      <patternFill patternType="solid">
        <fgColor theme="3" tint="0.749992370372631"/>
        <bgColor indexed="64"/>
      </patternFill>
    </fill>
    <fill>
      <patternFill patternType="solid">
        <fgColor rgb="FFFFFF00"/>
        <bgColor indexed="64"/>
      </patternFill>
    </fill>
    <fill>
      <patternFill patternType="solid">
        <fgColor theme="3" tint="0.89999084444715716"/>
        <bgColor indexed="64"/>
      </patternFill>
    </fill>
    <fill>
      <patternFill patternType="solid">
        <fgColor rgb="FFFFC000"/>
        <bgColor indexed="64"/>
      </patternFill>
    </fill>
    <fill>
      <patternFill patternType="solid">
        <fgColor rgb="FF88A1F0"/>
        <bgColor indexed="64"/>
      </patternFill>
    </fill>
    <fill>
      <patternFill patternType="solid">
        <fgColor theme="2" tint="-9.9978637043366805E-2"/>
        <bgColor indexed="64"/>
      </patternFill>
    </fill>
    <fill>
      <patternFill patternType="solid">
        <fgColor rgb="FFFFFC7E"/>
        <bgColor indexed="64"/>
      </patternFill>
    </fill>
    <fill>
      <patternFill patternType="solid">
        <fgColor rgb="FFF9DB42"/>
        <bgColor indexed="64"/>
      </patternFill>
    </fill>
    <fill>
      <patternFill patternType="solid">
        <fgColor rgb="FFF0C14D"/>
        <bgColor indexed="64"/>
      </patternFill>
    </fill>
  </fills>
  <borders count="6">
    <border>
      <left/>
      <right/>
      <top/>
      <bottom/>
      <diagonal/>
    </border>
    <border>
      <left style="thin">
        <color auto="1"/>
      </left>
      <right style="thin">
        <color auto="1"/>
      </right>
      <top style="thin">
        <color auto="1"/>
      </top>
      <bottom style="thin">
        <color auto="1"/>
      </bottom>
      <diagonal/>
    </border>
    <border>
      <left style="thin">
        <color auto="1"/>
      </left>
      <right style="thin">
        <color auto="1"/>
      </right>
      <top/>
      <bottom style="thin">
        <color auto="1"/>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style="thin">
        <color auto="1"/>
      </top>
      <bottom/>
      <diagonal/>
    </border>
  </borders>
  <cellStyleXfs count="2">
    <xf numFmtId="0" fontId="0" fillId="0" borderId="0"/>
    <xf numFmtId="9" fontId="3" fillId="0" borderId="0" applyFont="0" applyFill="0" applyBorder="0" applyAlignment="0" applyProtection="0"/>
  </cellStyleXfs>
  <cellXfs count="56">
    <xf numFmtId="0" fontId="0" fillId="0" borderId="0" xfId="0"/>
    <xf numFmtId="0" fontId="1" fillId="0" borderId="0" xfId="0" applyFont="1"/>
    <xf numFmtId="0" fontId="1" fillId="3" borderId="5" xfId="0" applyFont="1" applyFill="1" applyBorder="1"/>
    <xf numFmtId="0" fontId="2" fillId="5" borderId="5" xfId="0" applyFont="1" applyFill="1" applyBorder="1"/>
    <xf numFmtId="0" fontId="4" fillId="0" borderId="0" xfId="0" applyFont="1"/>
    <xf numFmtId="0" fontId="1" fillId="0" borderId="1" xfId="0" applyFont="1" applyBorder="1"/>
    <xf numFmtId="0" fontId="2" fillId="7" borderId="1" xfId="0" applyFont="1" applyFill="1" applyBorder="1"/>
    <xf numFmtId="0" fontId="6" fillId="0" borderId="1" xfId="0" applyFont="1" applyBorder="1"/>
    <xf numFmtId="0" fontId="7" fillId="2" borderId="2" xfId="0" applyFont="1" applyFill="1" applyBorder="1" applyAlignment="1">
      <alignment horizontal="center" vertical="top"/>
    </xf>
    <xf numFmtId="0" fontId="7" fillId="3" borderId="2" xfId="0" applyFont="1" applyFill="1" applyBorder="1" applyAlignment="1">
      <alignment horizontal="center" vertical="top"/>
    </xf>
    <xf numFmtId="0" fontId="7" fillId="2" borderId="2" xfId="0" applyFont="1" applyFill="1" applyBorder="1" applyAlignment="1">
      <alignment horizontal="right" vertical="top"/>
    </xf>
    <xf numFmtId="0" fontId="0" fillId="0" borderId="0" xfId="0" applyAlignment="1">
      <alignment horizontal="right"/>
    </xf>
    <xf numFmtId="1" fontId="0" fillId="0" borderId="0" xfId="0" applyNumberFormat="1" applyAlignment="1">
      <alignment horizontal="right"/>
    </xf>
    <xf numFmtId="164" fontId="0" fillId="0" borderId="0" xfId="0" applyNumberFormat="1" applyAlignment="1">
      <alignment horizontal="right"/>
    </xf>
    <xf numFmtId="0" fontId="0" fillId="0" borderId="0" xfId="0" applyAlignment="1">
      <alignment horizontal="left"/>
    </xf>
    <xf numFmtId="0" fontId="6" fillId="0" borderId="0" xfId="0" applyFont="1"/>
    <xf numFmtId="0" fontId="8" fillId="3" borderId="1" xfId="0" applyFont="1" applyFill="1" applyBorder="1"/>
    <xf numFmtId="0" fontId="8" fillId="4" borderId="1" xfId="0" applyFont="1" applyFill="1" applyBorder="1"/>
    <xf numFmtId="0" fontId="8" fillId="2" borderId="1" xfId="0" applyFont="1" applyFill="1" applyBorder="1"/>
    <xf numFmtId="1" fontId="6" fillId="0" borderId="1" xfId="0" applyNumberFormat="1" applyFont="1" applyBorder="1"/>
    <xf numFmtId="2" fontId="6" fillId="0" borderId="1" xfId="0" applyNumberFormat="1" applyFont="1" applyBorder="1"/>
    <xf numFmtId="0" fontId="6" fillId="0" borderId="0" xfId="0" applyFont="1" applyAlignment="1">
      <alignment wrapText="1"/>
    </xf>
    <xf numFmtId="1" fontId="6" fillId="0" borderId="0" xfId="0" applyNumberFormat="1" applyFont="1"/>
    <xf numFmtId="0" fontId="9" fillId="0" borderId="0" xfId="0" applyFont="1"/>
    <xf numFmtId="0" fontId="6" fillId="0" borderId="0" xfId="0" pivotButton="1" applyFont="1"/>
    <xf numFmtId="0" fontId="8" fillId="0" borderId="0" xfId="0" applyFont="1"/>
    <xf numFmtId="0" fontId="8" fillId="3" borderId="5" xfId="0" applyFont="1" applyFill="1" applyBorder="1"/>
    <xf numFmtId="0" fontId="8" fillId="5" borderId="5" xfId="0" applyFont="1" applyFill="1" applyBorder="1"/>
    <xf numFmtId="0" fontId="10" fillId="4" borderId="1" xfId="0" applyFont="1" applyFill="1" applyBorder="1"/>
    <xf numFmtId="165" fontId="6" fillId="0" borderId="1" xfId="0" applyNumberFormat="1" applyFont="1" applyBorder="1"/>
    <xf numFmtId="166" fontId="6" fillId="0" borderId="1" xfId="0" applyNumberFormat="1" applyFont="1" applyBorder="1"/>
    <xf numFmtId="166" fontId="6" fillId="0" borderId="1" xfId="1" applyNumberFormat="1" applyFont="1" applyBorder="1"/>
    <xf numFmtId="0" fontId="8" fillId="3" borderId="1" xfId="0" applyFont="1" applyFill="1" applyBorder="1" applyAlignment="1">
      <alignment horizontal="center"/>
    </xf>
    <xf numFmtId="0" fontId="8" fillId="2" borderId="1" xfId="0" applyFont="1" applyFill="1" applyBorder="1" applyAlignment="1">
      <alignment horizontal="left"/>
    </xf>
    <xf numFmtId="0" fontId="10" fillId="6" borderId="1" xfId="0" applyFont="1" applyFill="1" applyBorder="1"/>
    <xf numFmtId="165" fontId="6" fillId="0" borderId="0" xfId="0" pivotButton="1" applyNumberFormat="1" applyFont="1"/>
    <xf numFmtId="165" fontId="6" fillId="0" borderId="0" xfId="0" applyNumberFormat="1" applyFont="1"/>
    <xf numFmtId="0" fontId="7" fillId="2" borderId="1" xfId="0" applyFont="1" applyFill="1" applyBorder="1" applyAlignment="1">
      <alignment horizontal="center" vertical="top"/>
    </xf>
    <xf numFmtId="0" fontId="0" fillId="0" borderId="1" xfId="0" applyBorder="1"/>
    <xf numFmtId="0" fontId="0" fillId="0" borderId="0" xfId="0" applyAlignment="1">
      <alignment wrapText="1"/>
    </xf>
    <xf numFmtId="0" fontId="8" fillId="8" borderId="1" xfId="0" applyFont="1" applyFill="1" applyBorder="1"/>
    <xf numFmtId="9" fontId="6" fillId="0" borderId="1" xfId="1" applyFont="1" applyBorder="1"/>
    <xf numFmtId="0" fontId="8" fillId="10" borderId="1" xfId="0" applyFont="1" applyFill="1" applyBorder="1"/>
    <xf numFmtId="0" fontId="8" fillId="11" borderId="1" xfId="0" applyFont="1" applyFill="1" applyBorder="1"/>
    <xf numFmtId="0" fontId="6" fillId="0" borderId="1" xfId="0" applyFont="1" applyBorder="1"/>
    <xf numFmtId="0" fontId="8" fillId="3" borderId="1" xfId="0" applyFont="1" applyFill="1" applyBorder="1"/>
    <xf numFmtId="0" fontId="8" fillId="4" borderId="1" xfId="0" applyFont="1" applyFill="1" applyBorder="1"/>
    <xf numFmtId="0" fontId="8" fillId="4" borderId="3" xfId="0" applyFont="1" applyFill="1" applyBorder="1"/>
    <xf numFmtId="0" fontId="8" fillId="4" borderId="4" xfId="0" applyFont="1" applyFill="1" applyBorder="1"/>
    <xf numFmtId="0" fontId="10" fillId="4" borderId="1" xfId="0" applyFont="1" applyFill="1" applyBorder="1"/>
    <xf numFmtId="0" fontId="6" fillId="0" borderId="0" xfId="0" applyFont="1" applyAlignment="1">
      <alignment wrapText="1"/>
    </xf>
    <xf numFmtId="0" fontId="1" fillId="4" borderId="1" xfId="0" applyFont="1" applyFill="1" applyBorder="1"/>
    <xf numFmtId="0" fontId="1" fillId="6" borderId="1" xfId="0" applyFont="1" applyFill="1" applyBorder="1"/>
    <xf numFmtId="0" fontId="0" fillId="0" borderId="0" xfId="0" applyAlignment="1">
      <alignment wrapText="1"/>
    </xf>
    <xf numFmtId="0" fontId="8" fillId="0" borderId="0" xfId="0" applyFont="1"/>
    <xf numFmtId="0" fontId="8" fillId="9" borderId="1" xfId="0" applyFont="1" applyFill="1" applyBorder="1"/>
  </cellXfs>
  <cellStyles count="2">
    <cellStyle name="Normale" xfId="0" builtinId="0"/>
    <cellStyle name="Percentuale" xfId="1" builtinId="5"/>
  </cellStyles>
  <dxfs count="48">
    <dxf>
      <font>
        <name val="Calibri"/>
        <family val="2"/>
        <scheme val="none"/>
      </font>
    </dxf>
    <dxf>
      <font>
        <name val="Calibri"/>
        <family val="2"/>
        <scheme val="none"/>
      </font>
    </dxf>
    <dxf>
      <font>
        <name val="Calibri"/>
        <family val="2"/>
        <scheme val="none"/>
      </font>
    </dxf>
    <dxf>
      <font>
        <name val="Calibri"/>
        <family val="2"/>
        <scheme val="none"/>
      </font>
    </dxf>
    <dxf>
      <font>
        <name val="Calibri"/>
        <family val="2"/>
        <scheme val="none"/>
      </font>
    </dxf>
    <dxf>
      <font>
        <name val="Calibri"/>
        <family val="2"/>
        <scheme val="none"/>
      </font>
    </dxf>
    <dxf>
      <font>
        <name val="Calibri"/>
        <family val="2"/>
        <scheme val="none"/>
      </font>
    </dxf>
    <dxf>
      <font>
        <name val="Calibri"/>
        <family val="2"/>
        <scheme val="none"/>
      </font>
    </dxf>
    <dxf>
      <font>
        <name val="Calibri"/>
        <family val="2"/>
        <scheme val="none"/>
      </font>
    </dxf>
    <dxf>
      <font>
        <name val="Calibri"/>
        <family val="2"/>
        <scheme val="none"/>
      </font>
    </dxf>
    <dxf>
      <font>
        <name val="Calibri"/>
        <family val="2"/>
        <scheme val="none"/>
      </font>
    </dxf>
    <dxf>
      <font>
        <name val="Calibri"/>
        <family val="2"/>
        <scheme val="none"/>
      </font>
    </dxf>
    <dxf>
      <font>
        <name val="Calibri"/>
        <family val="2"/>
        <scheme val="none"/>
      </font>
    </dxf>
    <dxf>
      <font>
        <name val="Calibri"/>
        <family val="2"/>
        <scheme val="none"/>
      </font>
    </dxf>
    <dxf>
      <font>
        <name val="Calibri"/>
        <family val="2"/>
        <scheme val="none"/>
      </font>
    </dxf>
    <dxf>
      <font>
        <name val="Calibri"/>
        <family val="2"/>
        <scheme val="none"/>
      </font>
    </dxf>
    <dxf>
      <numFmt numFmtId="165" formatCode="#,##0.00\ &quot;€&quot;"/>
    </dxf>
    <dxf>
      <numFmt numFmtId="165" formatCode="#,##0.00\ &quot;€&quot;"/>
    </dxf>
    <dxf>
      <font>
        <name val="Calibri"/>
        <family val="2"/>
        <scheme val="none"/>
      </font>
    </dxf>
    <dxf>
      <font>
        <name val="Calibri"/>
        <family val="2"/>
        <scheme val="none"/>
      </font>
    </dxf>
    <dxf>
      <font>
        <name val="Calibri"/>
        <family val="2"/>
        <scheme val="none"/>
      </font>
    </dxf>
    <dxf>
      <font>
        <name val="Calibri"/>
        <family val="2"/>
        <scheme val="none"/>
      </font>
    </dxf>
    <dxf>
      <font>
        <name val="Calibri"/>
        <family val="2"/>
        <scheme val="none"/>
      </font>
    </dxf>
    <dxf>
      <font>
        <name val="Calibri"/>
        <family val="2"/>
        <scheme val="none"/>
      </font>
    </dxf>
    <dxf>
      <font>
        <name val="Calibri"/>
        <family val="2"/>
        <scheme val="none"/>
      </font>
    </dxf>
    <dxf>
      <font>
        <name val="Calibri"/>
        <family val="2"/>
        <scheme val="none"/>
      </font>
    </dxf>
    <dxf>
      <font>
        <name val="Calibri"/>
        <family val="2"/>
        <scheme val="none"/>
      </font>
    </dxf>
    <dxf>
      <font>
        <name val="Calibri"/>
        <family val="2"/>
        <scheme val="none"/>
      </font>
    </dxf>
    <dxf>
      <font>
        <name val="Calibri"/>
        <family val="2"/>
        <scheme val="none"/>
      </font>
    </dxf>
    <dxf>
      <font>
        <name val="Calibri"/>
        <family val="2"/>
        <scheme val="none"/>
      </font>
    </dxf>
    <dxf>
      <font>
        <strike val="0"/>
        <outline val="0"/>
        <shadow val="0"/>
        <u val="none"/>
        <vertAlign val="baseline"/>
        <sz val="12"/>
        <color theme="1"/>
        <name val="Aptos Narrow"/>
        <family val="2"/>
        <scheme val="minor"/>
      </font>
      <numFmt numFmtId="0" formatCode="General"/>
      <alignment horizontal="right" vertical="bottom" textRotation="0" wrapText="0" indent="0" justifyLastLine="0" shrinkToFit="0" readingOrder="0"/>
    </dxf>
    <dxf>
      <font>
        <strike val="0"/>
        <outline val="0"/>
        <shadow val="0"/>
        <u val="none"/>
        <vertAlign val="baseline"/>
        <sz val="12"/>
        <color theme="1"/>
        <name val="Aptos Narrow"/>
        <family val="2"/>
        <scheme val="minor"/>
      </font>
      <alignment horizontal="right" vertical="bottom" textRotation="0" wrapText="0" indent="0" justifyLastLine="0" shrinkToFit="0" readingOrder="0"/>
    </dxf>
    <dxf>
      <font>
        <strike val="0"/>
        <outline val="0"/>
        <shadow val="0"/>
        <u val="none"/>
        <vertAlign val="baseline"/>
        <sz val="12"/>
        <color theme="1"/>
        <name val="Aptos Narrow"/>
        <family val="2"/>
        <scheme val="minor"/>
      </font>
      <numFmt numFmtId="0" formatCode="General"/>
      <alignment horizontal="right" vertical="bottom" textRotation="0" wrapText="0" indent="0" justifyLastLine="0" shrinkToFit="0" readingOrder="0"/>
    </dxf>
    <dxf>
      <font>
        <strike val="0"/>
        <outline val="0"/>
        <shadow val="0"/>
        <u val="none"/>
        <vertAlign val="baseline"/>
        <sz val="12"/>
        <color theme="1"/>
        <name val="Aptos Narrow"/>
        <family val="2"/>
        <scheme val="minor"/>
      </font>
      <numFmt numFmtId="164" formatCode="0.0"/>
      <alignment horizontal="right" vertical="bottom" textRotation="0" wrapText="0" indent="0" justifyLastLine="0" shrinkToFit="0" readingOrder="0"/>
    </dxf>
    <dxf>
      <font>
        <strike val="0"/>
        <outline val="0"/>
        <shadow val="0"/>
        <u val="none"/>
        <vertAlign val="baseline"/>
        <sz val="12"/>
        <color theme="1"/>
        <name val="Aptos Narrow"/>
        <family val="2"/>
        <scheme val="minor"/>
      </font>
      <numFmt numFmtId="1" formatCode="0"/>
      <alignment horizontal="right" vertical="bottom" textRotation="0" wrapText="0" indent="0" justifyLastLine="0" shrinkToFit="0" readingOrder="0"/>
    </dxf>
    <dxf>
      <font>
        <strike val="0"/>
        <outline val="0"/>
        <shadow val="0"/>
        <u val="none"/>
        <vertAlign val="baseline"/>
        <sz val="12"/>
        <color theme="1"/>
        <name val="Aptos Narrow"/>
        <family val="2"/>
        <scheme val="minor"/>
      </font>
      <numFmt numFmtId="0" formatCode="General"/>
      <alignment horizontal="right" vertical="bottom" textRotation="0" wrapText="0" indent="0" justifyLastLine="0" shrinkToFit="0" readingOrder="0"/>
    </dxf>
    <dxf>
      <font>
        <strike val="0"/>
        <outline val="0"/>
        <shadow val="0"/>
        <u val="none"/>
        <vertAlign val="baseline"/>
        <sz val="12"/>
        <color theme="1"/>
        <name val="Aptos Narrow"/>
        <family val="2"/>
        <scheme val="minor"/>
      </font>
      <alignment horizontal="right" vertical="bottom" textRotation="0" wrapText="0" indent="0" justifyLastLine="0" shrinkToFit="0" readingOrder="0"/>
    </dxf>
    <dxf>
      <font>
        <strike val="0"/>
        <outline val="0"/>
        <shadow val="0"/>
        <u val="none"/>
        <vertAlign val="baseline"/>
        <sz val="12"/>
        <color theme="1"/>
        <name val="Aptos Narrow"/>
        <family val="2"/>
        <scheme val="minor"/>
      </font>
      <alignment horizontal="right" vertical="bottom" textRotation="0" wrapText="0" indent="0" justifyLastLine="0" shrinkToFit="0" readingOrder="0"/>
    </dxf>
    <dxf>
      <font>
        <strike val="0"/>
        <outline val="0"/>
        <shadow val="0"/>
        <u val="none"/>
        <vertAlign val="baseline"/>
        <sz val="12"/>
        <color theme="1"/>
        <name val="Aptos Narrow"/>
        <family val="2"/>
        <scheme val="minor"/>
      </font>
      <alignment horizontal="right" vertical="bottom" textRotation="0" wrapText="0" indent="0" justifyLastLine="0" shrinkToFit="0" readingOrder="0"/>
    </dxf>
    <dxf>
      <font>
        <strike val="0"/>
        <outline val="0"/>
        <shadow val="0"/>
        <u val="none"/>
        <vertAlign val="baseline"/>
        <sz val="12"/>
        <color theme="1"/>
        <name val="Aptos Narrow"/>
        <family val="2"/>
        <scheme val="minor"/>
      </font>
      <alignment horizontal="right" vertical="bottom" textRotation="0" wrapText="0" indent="0" justifyLastLine="0" shrinkToFit="0" readingOrder="0"/>
    </dxf>
    <dxf>
      <font>
        <strike val="0"/>
        <outline val="0"/>
        <shadow val="0"/>
        <u val="none"/>
        <vertAlign val="baseline"/>
        <sz val="12"/>
        <color theme="1"/>
        <name val="Aptos Narrow"/>
        <family val="2"/>
        <scheme val="minor"/>
      </font>
      <alignment horizontal="right" vertical="bottom" textRotation="0" wrapText="0" indent="0" justifyLastLine="0" shrinkToFit="0" readingOrder="0"/>
    </dxf>
    <dxf>
      <font>
        <strike val="0"/>
        <outline val="0"/>
        <shadow val="0"/>
        <u val="none"/>
        <vertAlign val="baseline"/>
        <sz val="12"/>
        <color theme="1"/>
        <name val="Aptos Narrow"/>
        <family val="2"/>
        <scheme val="minor"/>
      </font>
      <alignment horizontal="right" vertical="bottom" textRotation="0" wrapText="0" indent="0" justifyLastLine="0" shrinkToFit="0" readingOrder="0"/>
    </dxf>
    <dxf>
      <font>
        <strike val="0"/>
        <outline val="0"/>
        <shadow val="0"/>
        <u val="none"/>
        <vertAlign val="baseline"/>
        <sz val="12"/>
        <color theme="1"/>
        <name val="Aptos Narrow"/>
        <family val="2"/>
        <scheme val="minor"/>
      </font>
      <alignment horizontal="right" vertical="bottom" textRotation="0" wrapText="0" indent="0" justifyLastLine="0" shrinkToFit="0" readingOrder="0"/>
    </dxf>
    <dxf>
      <font>
        <strike val="0"/>
        <outline val="0"/>
        <shadow val="0"/>
        <u val="none"/>
        <vertAlign val="baseline"/>
        <sz val="12"/>
        <color theme="1"/>
        <name val="Aptos Narrow"/>
        <family val="2"/>
        <scheme val="minor"/>
      </font>
      <alignment horizontal="left" vertical="bottom" textRotation="0" wrapText="0" indent="0" justifyLastLine="0" shrinkToFit="0" readingOrder="0"/>
    </dxf>
    <dxf>
      <border outline="0">
        <top style="thin">
          <color auto="1"/>
        </top>
      </border>
    </dxf>
    <dxf>
      <font>
        <strike val="0"/>
        <outline val="0"/>
        <shadow val="0"/>
        <u val="none"/>
        <vertAlign val="baseline"/>
        <sz val="12"/>
        <color theme="1"/>
        <name val="Aptos Narrow"/>
        <family val="2"/>
        <scheme val="minor"/>
      </font>
      <alignment horizontal="right" vertical="bottom" textRotation="0" wrapText="0" indent="0" justifyLastLine="0" shrinkToFit="0" readingOrder="0"/>
    </dxf>
    <dxf>
      <border outline="0">
        <bottom style="thin">
          <color auto="1"/>
        </bottom>
      </border>
    </dxf>
    <dxf>
      <font>
        <b/>
        <i val="0"/>
        <strike val="0"/>
        <condense val="0"/>
        <extend val="0"/>
        <outline val="0"/>
        <shadow val="0"/>
        <u val="none"/>
        <vertAlign val="baseline"/>
        <sz val="12"/>
        <color auto="1"/>
        <name val="Calibri"/>
        <family val="2"/>
        <scheme val="none"/>
      </font>
      <fill>
        <patternFill patternType="solid">
          <fgColor indexed="64"/>
          <bgColor theme="3" tint="0.749992370372631"/>
        </patternFill>
      </fill>
      <alignment horizontal="center" vertical="top" textRotation="0" wrapText="0" indent="0" justifyLastLine="0" shrinkToFit="0" readingOrder="0"/>
      <border diagonalUp="0" diagonalDown="0" outline="0">
        <left style="thin">
          <color auto="1"/>
        </left>
        <right style="thin">
          <color auto="1"/>
        </right>
        <top/>
        <bottom/>
      </border>
    </dxf>
  </dxfs>
  <tableStyles count="0" defaultTableStyle="TableStyleMedium2" defaultPivotStyle="PivotStyleLight16"/>
  <colors>
    <mruColors>
      <color rgb="FFFAE848"/>
      <color rgb="FFF0C14D"/>
      <color rgb="FFEDD241"/>
      <color rgb="FFDAA810"/>
      <color rgb="FFFFC508"/>
      <color rgb="FFF9DB42"/>
      <color rgb="FFFFFC7E"/>
      <color rgb="FFFFD695"/>
      <color rgb="FFFFEA88"/>
      <color rgb="FFA2A9E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pivotCacheDefinition" Target="pivotCache/pivotCacheDefinition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eetMetadata" Target="metadata.xml"/></Relationships>
</file>

<file path=xl/charts/_rels/chart1.xml.rels><?xml version="1.0" encoding="UTF-8" standalone="yes"?>
<Relationships xmlns="http://schemas.openxmlformats.org/package/2006/relationships"><Relationship Id="rId3" Type="http://schemas.openxmlformats.org/officeDocument/2006/relationships/chartUserShapes" Target="../drawings/drawing2.xml"/><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it-IT"/>
  <c:roundedCorners val="0"/>
  <mc:AlternateContent xmlns:mc="http://schemas.openxmlformats.org/markup-compatibility/2006">
    <mc:Choice xmlns:c14="http://schemas.microsoft.com/office/drawing/2007/8/2/chart" Requires="c14">
      <c14:style val="102"/>
    </mc:Choice>
    <mc:Fallback>
      <c:style val="2"/>
    </mc:Fallback>
  </mc:AlternateContent>
  <c:pivotSource>
    <c:name>[SalesAnalysis_and_MarketingStrategy.xlsx.xlsx]03_Sales_By_Month!Tabella pivot1</c:name>
    <c:fmtId val="1"/>
  </c:pivotSource>
  <c:chart>
    <c:title>
      <c:tx>
        <c:rich>
          <a:bodyPr rot="0" spcFirstLastPara="1" vertOverflow="ellipsis" vert="horz" wrap="square" anchor="ctr" anchorCtr="1"/>
          <a:lstStyle/>
          <a:p>
            <a:pPr>
              <a:defRPr sz="2000" b="1" i="0" u="none" strike="noStrike" kern="1200" baseline="0">
                <a:solidFill>
                  <a:schemeClr val="dk1">
                    <a:lumMod val="75000"/>
                    <a:lumOff val="25000"/>
                  </a:schemeClr>
                </a:solidFill>
                <a:latin typeface="+mn-lt"/>
                <a:ea typeface="+mn-ea"/>
                <a:cs typeface="+mn-cs"/>
              </a:defRPr>
            </a:pPr>
            <a:r>
              <a:rPr lang="it-IT" sz="2000"/>
              <a:t>Monthly Sales Trend</a:t>
            </a:r>
          </a:p>
        </c:rich>
      </c:tx>
      <c:overlay val="0"/>
      <c:spPr>
        <a:noFill/>
        <a:ln>
          <a:noFill/>
        </a:ln>
        <a:effectLst/>
      </c:spPr>
      <c:txPr>
        <a:bodyPr rot="0" spcFirstLastPara="1" vertOverflow="ellipsis" vert="horz" wrap="square" anchor="ctr" anchorCtr="1"/>
        <a:lstStyle/>
        <a:p>
          <a:pPr>
            <a:defRPr sz="2000" b="1" i="0" u="none" strike="noStrike" kern="1200" baseline="0">
              <a:solidFill>
                <a:schemeClr val="dk1">
                  <a:lumMod val="75000"/>
                  <a:lumOff val="25000"/>
                </a:schemeClr>
              </a:solidFill>
              <a:latin typeface="+mn-lt"/>
              <a:ea typeface="+mn-ea"/>
              <a:cs typeface="+mn-cs"/>
            </a:defRPr>
          </a:pPr>
          <a:endParaRPr lang="it-IT"/>
        </a:p>
      </c:txPr>
    </c:title>
    <c:autoTitleDeleted val="0"/>
    <c:pivotFmts>
      <c:pivotFmt>
        <c:idx val="0"/>
        <c:spPr>
          <a:solidFill>
            <a:schemeClr val="accent1">
              <a:alpha val="85000"/>
            </a:schemeClr>
          </a:solidFill>
          <a:ln w="9525" cap="flat" cmpd="sng" algn="ctr">
            <a:solidFill>
              <a:schemeClr val="lt1">
                <a:alpha val="50000"/>
              </a:schemeClr>
            </a:solidFill>
            <a:round/>
          </a:ln>
          <a:effectLst/>
        </c:spPr>
        <c:marker>
          <c:symbol val="circle"/>
          <c:size val="6"/>
          <c:spPr>
            <a:solidFill>
              <a:schemeClr val="accent1">
                <a:alpha val="85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Calibri" panose="020F0502020204030204" pitchFamily="34" charset="0"/>
                  <a:ea typeface="+mn-ea"/>
                  <a:cs typeface="Calibri" panose="020F0502020204030204" pitchFamily="34" charset="0"/>
                </a:defRPr>
              </a:pPr>
              <a:endParaRPr lang="it-IT"/>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EB6B3B">
              <a:alpha val="85882"/>
            </a:srgbClr>
          </a:solidFill>
          <a:ln w="9525" cap="flat" cmpd="sng" algn="ctr">
            <a:solidFill>
              <a:schemeClr val="lt1">
                <a:alpha val="50000"/>
              </a:schemeClr>
            </a:solidFill>
            <a:round/>
          </a:ln>
          <a:effectLst/>
        </c:spPr>
      </c:pivotFmt>
      <c:pivotFmt>
        <c:idx val="2"/>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Calibri" panose="020F0502020204030204" pitchFamily="34" charset="0"/>
                  <a:ea typeface="+mn-ea"/>
                  <a:cs typeface="Calibri" panose="020F0502020204030204" pitchFamily="34" charset="0"/>
                </a:defRPr>
              </a:pPr>
              <a:endParaRPr lang="it-IT"/>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EB6B3B">
              <a:alpha val="85882"/>
            </a:srgbClr>
          </a:solidFill>
          <a:ln w="9525" cap="flat" cmpd="sng" algn="ctr">
            <a:solidFill>
              <a:schemeClr val="lt1">
                <a:alpha val="50000"/>
              </a:schemeClr>
            </a:solidFill>
            <a:round/>
          </a:ln>
          <a:effectLst/>
        </c:spPr>
      </c:pivotFmt>
      <c:pivotFmt>
        <c:idx val="4"/>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Calibri" panose="020F0502020204030204" pitchFamily="34" charset="0"/>
                  <a:ea typeface="+mn-ea"/>
                  <a:cs typeface="Calibri" panose="020F0502020204030204" pitchFamily="34" charset="0"/>
                </a:defRPr>
              </a:pPr>
              <a:endParaRPr lang="it-IT"/>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EB6B3B">
              <a:alpha val="85882"/>
            </a:srgbClr>
          </a:solidFill>
          <a:ln w="9525" cap="flat" cmpd="sng" algn="ctr">
            <a:solidFill>
              <a:schemeClr val="lt1">
                <a:alpha val="50000"/>
              </a:schemeClr>
            </a:solidFill>
            <a:round/>
          </a:ln>
          <a:effectLst/>
        </c:spPr>
      </c:pivotFmt>
      <c:pivotFmt>
        <c:idx val="6"/>
        <c:spPr>
          <a:solidFill>
            <a:schemeClr val="tx2">
              <a:lumMod val="75000"/>
              <a:lumOff val="25000"/>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lt1"/>
                  </a:solidFill>
                  <a:latin typeface="Calibri" panose="020F0502020204030204" pitchFamily="34" charset="0"/>
                  <a:ea typeface="+mn-ea"/>
                  <a:cs typeface="Calibri" panose="020F0502020204030204" pitchFamily="34" charset="0"/>
                </a:defRPr>
              </a:pPr>
              <a:endParaRPr lang="it-IT"/>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tx2">
              <a:lumMod val="75000"/>
              <a:lumOff val="25000"/>
              <a:alpha val="85000"/>
            </a:schemeClr>
          </a:solidFill>
          <a:ln w="9525" cap="flat" cmpd="sng" algn="ctr">
            <a:solidFill>
              <a:schemeClr val="lt1">
                <a:alpha val="50000"/>
              </a:schemeClr>
            </a:solidFill>
            <a:round/>
          </a:ln>
          <a:effectLst/>
        </c:spPr>
      </c:pivotFmt>
    </c:pivotFmts>
    <c:plotArea>
      <c:layout/>
      <c:barChart>
        <c:barDir val="col"/>
        <c:grouping val="clustered"/>
        <c:varyColors val="0"/>
        <c:ser>
          <c:idx val="0"/>
          <c:order val="0"/>
          <c:tx>
            <c:strRef>
              <c:f>'03_Sales_By_Month'!$C$3</c:f>
              <c:strCache>
                <c:ptCount val="1"/>
                <c:pt idx="0">
                  <c:v>Totale</c:v>
                </c:pt>
              </c:strCache>
            </c:strRef>
          </c:tx>
          <c:spPr>
            <a:solidFill>
              <a:schemeClr val="tx2">
                <a:lumMod val="75000"/>
                <a:lumOff val="25000"/>
                <a:alpha val="85000"/>
              </a:schemeClr>
            </a:solidFill>
            <a:ln w="9525" cap="flat" cmpd="sng" algn="ctr">
              <a:solidFill>
                <a:schemeClr val="lt1">
                  <a:alpha val="50000"/>
                </a:schemeClr>
              </a:solidFill>
              <a:round/>
            </a:ln>
            <a:effectLst/>
          </c:spPr>
          <c:invertIfNegative val="0"/>
          <c:dPt>
            <c:idx val="3"/>
            <c:invertIfNegative val="0"/>
            <c:bubble3D val="0"/>
            <c:spPr>
              <a:solidFill>
                <a:schemeClr val="tx2">
                  <a:lumMod val="75000"/>
                  <a:lumOff val="25000"/>
                  <a:alpha val="85000"/>
                </a:schemeClr>
              </a:solidFill>
              <a:ln w="9525" cap="flat" cmpd="sng" algn="ctr">
                <a:solidFill>
                  <a:schemeClr val="lt1">
                    <a:alpha val="50000"/>
                  </a:schemeClr>
                </a:solidFill>
                <a:round/>
              </a:ln>
              <a:effectLst/>
            </c:spPr>
            <c:extLst>
              <c:ext xmlns:c16="http://schemas.microsoft.com/office/drawing/2014/chart" uri="{C3380CC4-5D6E-409C-BE32-E72D297353CC}">
                <c16:uniqueId val="{00000006-A3DC-994D-B178-8E64FEEE52E8}"/>
              </c:ext>
            </c:extLst>
          </c:dPt>
          <c:dLbls>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lt1"/>
                    </a:solidFill>
                    <a:latin typeface="Calibri" panose="020F0502020204030204" pitchFamily="34" charset="0"/>
                    <a:ea typeface="+mn-ea"/>
                    <a:cs typeface="Calibri" panose="020F0502020204030204" pitchFamily="34" charset="0"/>
                  </a:defRPr>
                </a:pPr>
                <a:endParaRPr lang="it-IT"/>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trendline>
            <c:name>Sales Trend (Polynomial)</c:name>
            <c:spPr>
              <a:ln w="19050" cap="rnd">
                <a:solidFill>
                  <a:schemeClr val="accent2"/>
                </a:solidFill>
              </a:ln>
              <a:effectLst/>
            </c:spPr>
            <c:trendlineType val="poly"/>
            <c:order val="2"/>
            <c:dispRSqr val="0"/>
            <c:dispEq val="0"/>
          </c:trendline>
          <c:cat>
            <c:strRef>
              <c:f>'03_Sales_By_Month'!$B$4:$B$16</c:f>
              <c:strCache>
                <c:ptCount val="12"/>
                <c:pt idx="0">
                  <c:v>01 - January</c:v>
                </c:pt>
                <c:pt idx="1">
                  <c:v>02 - February</c:v>
                </c:pt>
                <c:pt idx="2">
                  <c:v>03 - March</c:v>
                </c:pt>
                <c:pt idx="3">
                  <c:v>04 - April</c:v>
                </c:pt>
                <c:pt idx="4">
                  <c:v>05 - May</c:v>
                </c:pt>
                <c:pt idx="5">
                  <c:v>06 - June</c:v>
                </c:pt>
                <c:pt idx="6">
                  <c:v>07 - July</c:v>
                </c:pt>
                <c:pt idx="7">
                  <c:v>08 - August</c:v>
                </c:pt>
                <c:pt idx="8">
                  <c:v>09 - September</c:v>
                </c:pt>
                <c:pt idx="9">
                  <c:v>10 - October</c:v>
                </c:pt>
                <c:pt idx="10">
                  <c:v>11 - November</c:v>
                </c:pt>
                <c:pt idx="11">
                  <c:v>12 - December</c:v>
                </c:pt>
              </c:strCache>
            </c:strRef>
          </c:cat>
          <c:val>
            <c:numRef>
              <c:f>'03_Sales_By_Month'!$C$4:$C$16</c:f>
              <c:numCache>
                <c:formatCode>General</c:formatCode>
                <c:ptCount val="12"/>
                <c:pt idx="0">
                  <c:v>224.62</c:v>
                </c:pt>
                <c:pt idx="1">
                  <c:v>498.35000000000008</c:v>
                </c:pt>
                <c:pt idx="2">
                  <c:v>365.51000000000005</c:v>
                </c:pt>
                <c:pt idx="3">
                  <c:v>603.83999999999992</c:v>
                </c:pt>
                <c:pt idx="4">
                  <c:v>627.64</c:v>
                </c:pt>
                <c:pt idx="5">
                  <c:v>201.23000000000002</c:v>
                </c:pt>
                <c:pt idx="6">
                  <c:v>296.80999999999995</c:v>
                </c:pt>
                <c:pt idx="7">
                  <c:v>448.59999999999991</c:v>
                </c:pt>
                <c:pt idx="8">
                  <c:v>324.42999999999995</c:v>
                </c:pt>
                <c:pt idx="9">
                  <c:v>504.52</c:v>
                </c:pt>
                <c:pt idx="10">
                  <c:v>641.20000000000005</c:v>
                </c:pt>
                <c:pt idx="11">
                  <c:v>198.81</c:v>
                </c:pt>
              </c:numCache>
            </c:numRef>
          </c:val>
          <c:extLst>
            <c:ext xmlns:c16="http://schemas.microsoft.com/office/drawing/2014/chart" uri="{C3380CC4-5D6E-409C-BE32-E72D297353CC}">
              <c16:uniqueId val="{00000007-A3DC-994D-B178-8E64FEEE52E8}"/>
            </c:ext>
          </c:extLst>
        </c:ser>
        <c:dLbls>
          <c:dLblPos val="inEnd"/>
          <c:showLegendKey val="0"/>
          <c:showVal val="1"/>
          <c:showCatName val="0"/>
          <c:showSerName val="0"/>
          <c:showPercent val="0"/>
          <c:showBubbleSize val="0"/>
        </c:dLbls>
        <c:gapWidth val="65"/>
        <c:axId val="1404481791"/>
        <c:axId val="1078199167"/>
      </c:barChart>
      <c:catAx>
        <c:axId val="1404481791"/>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1000" b="1" i="0" u="none" strike="noStrike" kern="1200" cap="all" baseline="0">
                <a:solidFill>
                  <a:schemeClr val="dk1">
                    <a:lumMod val="75000"/>
                    <a:lumOff val="25000"/>
                  </a:schemeClr>
                </a:solidFill>
                <a:latin typeface="Calibri" panose="020F0502020204030204" pitchFamily="34" charset="0"/>
                <a:ea typeface="+mn-ea"/>
                <a:cs typeface="Calibri" panose="020F0502020204030204" pitchFamily="34" charset="0"/>
              </a:defRPr>
            </a:pPr>
            <a:endParaRPr lang="it-IT"/>
          </a:p>
        </c:txPr>
        <c:crossAx val="1078199167"/>
        <c:crosses val="autoZero"/>
        <c:auto val="1"/>
        <c:lblAlgn val="ctr"/>
        <c:lblOffset val="100"/>
        <c:noMultiLvlLbl val="0"/>
      </c:catAx>
      <c:valAx>
        <c:axId val="1078199167"/>
        <c:scaling>
          <c:orientation val="minMax"/>
        </c:scaling>
        <c:delete val="1"/>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General" sourceLinked="1"/>
        <c:majorTickMark val="none"/>
        <c:minorTickMark val="none"/>
        <c:tickLblPos val="nextTo"/>
        <c:crossAx val="1404481791"/>
        <c:crosses val="autoZero"/>
        <c:crossBetween val="between"/>
      </c:valAx>
      <c:spPr>
        <a:noFill/>
        <a:ln>
          <a:noFill/>
        </a:ln>
        <a:effectLst/>
      </c:spPr>
    </c:plotArea>
    <c:plotVisOnly val="1"/>
    <c:dispBlanksAs val="gap"/>
    <c:showDLblsOverMax val="0"/>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it-IT"/>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it-IT"/>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it-IT"/>
              <a:t>Age Group Performance – KPI Comparison</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it-IT"/>
        </a:p>
      </c:txPr>
    </c:title>
    <c:autoTitleDeleted val="0"/>
    <c:plotArea>
      <c:layout/>
      <c:barChart>
        <c:barDir val="col"/>
        <c:grouping val="clustered"/>
        <c:varyColors val="0"/>
        <c:ser>
          <c:idx val="0"/>
          <c:order val="0"/>
          <c:tx>
            <c:strRef>
              <c:f>'04_Age_Segment_Insights'!$I$3</c:f>
              <c:strCache>
                <c:ptCount val="1"/>
                <c:pt idx="0">
                  <c:v>Conversion Rate</c:v>
                </c:pt>
              </c:strCache>
            </c:strRef>
          </c:tx>
          <c:spPr>
            <a:solidFill>
              <a:srgbClr val="DDD865"/>
            </a:solidFill>
            <a:ln w="9525" cap="flat" cmpd="sng" algn="ctr">
              <a:solidFill>
                <a:schemeClr val="tx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500" b="1" i="0" u="none" strike="noStrike" kern="1200" baseline="0">
                    <a:solidFill>
                      <a:schemeClr val="tx1"/>
                    </a:solidFill>
                    <a:latin typeface="Calibri" panose="020F0502020204030204" pitchFamily="34" charset="0"/>
                    <a:ea typeface="+mn-ea"/>
                    <a:cs typeface="Calibri" panose="020F0502020204030204" pitchFamily="34" charset="0"/>
                  </a:defRPr>
                </a:pPr>
                <a:endParaRPr lang="it-IT"/>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'04_Age_Segment_Insights'!$H$4:$H$7</c:f>
              <c:strCache>
                <c:ptCount val="4"/>
                <c:pt idx="0">
                  <c:v>Emerging Professionals</c:v>
                </c:pt>
                <c:pt idx="1">
                  <c:v>Established Adults</c:v>
                </c:pt>
                <c:pt idx="2">
                  <c:v>Mature Customers</c:v>
                </c:pt>
                <c:pt idx="3">
                  <c:v>Young Adults</c:v>
                </c:pt>
              </c:strCache>
            </c:strRef>
          </c:cat>
          <c:val>
            <c:numRef>
              <c:f>'04_Age_Segment_Insights'!$I$4:$I$7</c:f>
              <c:numCache>
                <c:formatCode>0.0%</c:formatCode>
                <c:ptCount val="4"/>
                <c:pt idx="0">
                  <c:v>0.44029850746268656</c:v>
                </c:pt>
                <c:pt idx="1">
                  <c:v>0.46919431279620855</c:v>
                </c:pt>
                <c:pt idx="2">
                  <c:v>0.63636363636363635</c:v>
                </c:pt>
                <c:pt idx="3">
                  <c:v>0.5495495495495496</c:v>
                </c:pt>
              </c:numCache>
            </c:numRef>
          </c:val>
          <c:extLst>
            <c:ext xmlns:c16="http://schemas.microsoft.com/office/drawing/2014/chart" uri="{C3380CC4-5D6E-409C-BE32-E72D297353CC}">
              <c16:uniqueId val="{00000000-EF5F-124D-A22F-B2DC88C9A3F2}"/>
            </c:ext>
          </c:extLst>
        </c:ser>
        <c:ser>
          <c:idx val="1"/>
          <c:order val="1"/>
          <c:tx>
            <c:strRef>
              <c:f>'04_Age_Segment_Insights'!$J$3</c:f>
              <c:strCache>
                <c:ptCount val="1"/>
                <c:pt idx="0">
                  <c:v>Avg Revenue per Customer</c:v>
                </c:pt>
              </c:strCache>
            </c:strRef>
          </c:tx>
          <c:spPr>
            <a:solidFill>
              <a:srgbClr val="E5AD64"/>
            </a:solidFill>
            <a:ln w="9525" cap="flat" cmpd="sng" algn="ctr">
              <a:solidFill>
                <a:schemeClr val="tx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500" b="1" i="0" u="none" strike="noStrike" kern="1200" baseline="0">
                    <a:solidFill>
                      <a:schemeClr val="lt1"/>
                    </a:solidFill>
                    <a:latin typeface="Calibri" panose="020F0502020204030204" pitchFamily="34" charset="0"/>
                    <a:ea typeface="+mn-ea"/>
                    <a:cs typeface="Calibri" panose="020F0502020204030204" pitchFamily="34" charset="0"/>
                  </a:defRPr>
                </a:pPr>
                <a:endParaRPr lang="it-IT"/>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'04_Age_Segment_Insights'!$H$4:$H$7</c:f>
              <c:strCache>
                <c:ptCount val="4"/>
                <c:pt idx="0">
                  <c:v>Emerging Professionals</c:v>
                </c:pt>
                <c:pt idx="1">
                  <c:v>Established Adults</c:v>
                </c:pt>
                <c:pt idx="2">
                  <c:v>Mature Customers</c:v>
                </c:pt>
                <c:pt idx="3">
                  <c:v>Young Adults</c:v>
                </c:pt>
              </c:strCache>
            </c:strRef>
          </c:cat>
          <c:val>
            <c:numRef>
              <c:f>'04_Age_Segment_Insights'!$J$4:$J$7</c:f>
              <c:numCache>
                <c:formatCode>#,##0.00\ "€"</c:formatCode>
                <c:ptCount val="4"/>
                <c:pt idx="0">
                  <c:v>17.161864406779653</c:v>
                </c:pt>
                <c:pt idx="1">
                  <c:v>22.934646464646463</c:v>
                </c:pt>
                <c:pt idx="2">
                  <c:v>22.878571428571433</c:v>
                </c:pt>
                <c:pt idx="3">
                  <c:v>16.588196721311476</c:v>
                </c:pt>
              </c:numCache>
            </c:numRef>
          </c:val>
          <c:extLst>
            <c:ext xmlns:c16="http://schemas.microsoft.com/office/drawing/2014/chart" uri="{C3380CC4-5D6E-409C-BE32-E72D297353CC}">
              <c16:uniqueId val="{00000001-EF5F-124D-A22F-B2DC88C9A3F2}"/>
            </c:ext>
          </c:extLst>
        </c:ser>
        <c:ser>
          <c:idx val="2"/>
          <c:order val="2"/>
          <c:tx>
            <c:strRef>
              <c:f>'04_Age_Segment_Insights'!$K$3</c:f>
              <c:strCache>
                <c:ptCount val="1"/>
                <c:pt idx="0">
                  <c:v>Cost-to-Revenue Ratio</c:v>
                </c:pt>
              </c:strCache>
            </c:strRef>
          </c:tx>
          <c:spPr>
            <a:solidFill>
              <a:srgbClr val="EB6B3B">
                <a:alpha val="85000"/>
              </a:srgbClr>
            </a:solidFill>
            <a:ln w="9525" cap="flat" cmpd="sng" algn="ctr">
              <a:solidFill>
                <a:schemeClr val="tx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500" b="1" i="0" u="none" strike="noStrike" kern="1200" baseline="0">
                    <a:solidFill>
                      <a:schemeClr val="tx1"/>
                    </a:solidFill>
                    <a:latin typeface="Calibri" panose="020F0502020204030204" pitchFamily="34" charset="0"/>
                    <a:ea typeface="+mn-ea"/>
                    <a:cs typeface="Calibri" panose="020F0502020204030204" pitchFamily="34" charset="0"/>
                  </a:defRPr>
                </a:pPr>
                <a:endParaRPr lang="it-IT"/>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'04_Age_Segment_Insights'!$H$4:$H$7</c:f>
              <c:strCache>
                <c:ptCount val="4"/>
                <c:pt idx="0">
                  <c:v>Emerging Professionals</c:v>
                </c:pt>
                <c:pt idx="1">
                  <c:v>Established Adults</c:v>
                </c:pt>
                <c:pt idx="2">
                  <c:v>Mature Customers</c:v>
                </c:pt>
                <c:pt idx="3">
                  <c:v>Young Adults</c:v>
                </c:pt>
              </c:strCache>
            </c:strRef>
          </c:cat>
          <c:val>
            <c:numRef>
              <c:f>'04_Age_Segment_Insights'!$K$4:$K$7</c:f>
              <c:numCache>
                <c:formatCode>0.0%</c:formatCode>
                <c:ptCount val="4"/>
                <c:pt idx="0">
                  <c:v>0.82714927657893467</c:v>
                </c:pt>
                <c:pt idx="1">
                  <c:v>0.56008509026526854</c:v>
                </c:pt>
                <c:pt idx="2">
                  <c:v>0.39970340305963142</c:v>
                </c:pt>
                <c:pt idx="3">
                  <c:v>0.66958532632327961</c:v>
                </c:pt>
              </c:numCache>
            </c:numRef>
          </c:val>
          <c:extLst>
            <c:ext xmlns:c16="http://schemas.microsoft.com/office/drawing/2014/chart" uri="{C3380CC4-5D6E-409C-BE32-E72D297353CC}">
              <c16:uniqueId val="{00000002-EF5F-124D-A22F-B2DC88C9A3F2}"/>
            </c:ext>
          </c:extLst>
        </c:ser>
        <c:dLbls>
          <c:dLblPos val="inEnd"/>
          <c:showLegendKey val="0"/>
          <c:showVal val="1"/>
          <c:showCatName val="0"/>
          <c:showSerName val="0"/>
          <c:showPercent val="0"/>
          <c:showBubbleSize val="0"/>
        </c:dLbls>
        <c:gapWidth val="65"/>
        <c:axId val="824582015"/>
        <c:axId val="839854143"/>
      </c:barChart>
      <c:catAx>
        <c:axId val="824582015"/>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1500" b="1" i="0" u="none" strike="noStrike" kern="1200" cap="all" baseline="0">
                <a:solidFill>
                  <a:schemeClr val="dk1">
                    <a:lumMod val="75000"/>
                    <a:lumOff val="25000"/>
                  </a:schemeClr>
                </a:solidFill>
                <a:latin typeface="Calibri" panose="020F0502020204030204" pitchFamily="34" charset="0"/>
                <a:ea typeface="+mn-ea"/>
                <a:cs typeface="Calibri" panose="020F0502020204030204" pitchFamily="34" charset="0"/>
              </a:defRPr>
            </a:pPr>
            <a:endParaRPr lang="it-IT"/>
          </a:p>
        </c:txPr>
        <c:crossAx val="839854143"/>
        <c:crosses val="autoZero"/>
        <c:auto val="1"/>
        <c:lblAlgn val="ctr"/>
        <c:lblOffset val="100"/>
        <c:noMultiLvlLbl val="0"/>
      </c:catAx>
      <c:valAx>
        <c:axId val="839854143"/>
        <c:scaling>
          <c:orientation val="minMax"/>
        </c:scaling>
        <c:delete val="1"/>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0.0%" sourceLinked="1"/>
        <c:majorTickMark val="none"/>
        <c:minorTickMark val="none"/>
        <c:tickLblPos val="nextTo"/>
        <c:crossAx val="824582015"/>
        <c:crosses val="autoZero"/>
        <c:crossBetween val="between"/>
      </c:valAx>
      <c:spPr>
        <a:noFill/>
        <a:ln>
          <a:noFill/>
        </a:ln>
        <a:effectLst/>
      </c:spPr>
    </c:plotArea>
    <c:legend>
      <c:legendPos val="b"/>
      <c:overlay val="0"/>
      <c:spPr>
        <a:solidFill>
          <a:schemeClr val="lt1">
            <a:lumMod val="95000"/>
            <a:alpha val="39000"/>
          </a:schemeClr>
        </a:solidFill>
        <a:ln>
          <a:noFill/>
        </a:ln>
        <a:effectLst/>
      </c:spPr>
      <c:txPr>
        <a:bodyPr rot="0" spcFirstLastPara="1" vertOverflow="ellipsis" vert="horz" wrap="square" anchor="ctr" anchorCtr="1"/>
        <a:lstStyle/>
        <a:p>
          <a:pPr>
            <a:defRPr sz="1500" b="1" i="0" u="none" strike="noStrike" kern="1200" baseline="0">
              <a:solidFill>
                <a:schemeClr val="dk1">
                  <a:lumMod val="75000"/>
                  <a:lumOff val="25000"/>
                </a:schemeClr>
              </a:solidFill>
              <a:latin typeface="Calibri" panose="020F0502020204030204" pitchFamily="34" charset="0"/>
              <a:ea typeface="+mn-ea"/>
              <a:cs typeface="Calibri" panose="020F0502020204030204" pitchFamily="34" charset="0"/>
            </a:defRPr>
          </a:pPr>
          <a:endParaRPr lang="it-IT"/>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it-IT"/>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it-IT"/>
  <c:roundedCorners val="0"/>
  <mc:AlternateContent xmlns:mc="http://schemas.openxmlformats.org/markup-compatibility/2006">
    <mc:Choice xmlns:c14="http://schemas.microsoft.com/office/drawing/2007/8/2/chart" Requires="c14">
      <c14:style val="102"/>
    </mc:Choice>
    <mc:Fallback>
      <c:style val="2"/>
    </mc:Fallback>
  </mc:AlternateContent>
  <c:pivotSource>
    <c:name>[SalesAnalysis_and_MarketingStrategy.xlsx.xlsx]05_Regional_Sales_Insights!Tabella pivot2</c:name>
    <c:fmtId val="0"/>
  </c:pivotSource>
  <c:chart>
    <c:title>
      <c:tx>
        <c:rich>
          <a:bodyPr rot="0" spcFirstLastPara="1" vertOverflow="ellipsis" vert="horz" wrap="square" anchor="t" anchorCtr="1"/>
          <a:lstStyle/>
          <a:p>
            <a:pPr>
              <a:defRPr sz="3500" b="1" i="0" u="none" strike="noStrike" kern="1200" cap="all" spc="120" normalizeH="0" baseline="0">
                <a:solidFill>
                  <a:schemeClr val="tx1">
                    <a:lumMod val="65000"/>
                    <a:lumOff val="35000"/>
                  </a:schemeClr>
                </a:solidFill>
                <a:latin typeface="Calibri" panose="020F0502020204030204" pitchFamily="34" charset="0"/>
                <a:ea typeface="+mn-ea"/>
                <a:cs typeface="Calibri" panose="020F0502020204030204" pitchFamily="34" charset="0"/>
              </a:defRPr>
            </a:pPr>
            <a:r>
              <a:rPr lang="it-IT" sz="3500" b="1" i="0" u="none" strike="noStrike" cap="all" normalizeH="0" baseline="0">
                <a:latin typeface="Calibri" panose="020F0502020204030204" pitchFamily="34" charset="0"/>
                <a:cs typeface="Calibri" panose="020F0502020204030204" pitchFamily="34" charset="0"/>
              </a:rPr>
              <a:t>Sales Distribution by Region and Age Group (Total)</a:t>
            </a:r>
            <a:endParaRPr lang="it-IT" sz="3500" b="1">
              <a:latin typeface="Calibri" panose="020F0502020204030204" pitchFamily="34" charset="0"/>
              <a:cs typeface="Calibri" panose="020F0502020204030204" pitchFamily="34" charset="0"/>
            </a:endParaRPr>
          </a:p>
        </c:rich>
      </c:tx>
      <c:layout>
        <c:manualLayout>
          <c:xMode val="edge"/>
          <c:yMode val="edge"/>
          <c:x val="0.28336734743071262"/>
          <c:y val="4.9355043773080996E-2"/>
        </c:manualLayout>
      </c:layout>
      <c:overlay val="0"/>
      <c:spPr>
        <a:noFill/>
        <a:ln>
          <a:noFill/>
        </a:ln>
        <a:effectLst/>
      </c:spPr>
      <c:txPr>
        <a:bodyPr rot="0" spcFirstLastPara="1" vertOverflow="ellipsis" vert="horz" wrap="square" anchor="t" anchorCtr="1"/>
        <a:lstStyle/>
        <a:p>
          <a:pPr>
            <a:defRPr sz="3500" b="1" i="0" u="none" strike="noStrike" kern="1200" cap="all" spc="120" normalizeH="0" baseline="0">
              <a:solidFill>
                <a:schemeClr val="tx1">
                  <a:lumMod val="65000"/>
                  <a:lumOff val="35000"/>
                </a:schemeClr>
              </a:solidFill>
              <a:latin typeface="Calibri" panose="020F0502020204030204" pitchFamily="34" charset="0"/>
              <a:ea typeface="+mn-ea"/>
              <a:cs typeface="Calibri" panose="020F0502020204030204" pitchFamily="34" charset="0"/>
            </a:defRPr>
          </a:pPr>
          <a:endParaRPr lang="it-IT"/>
        </a:p>
      </c:txPr>
    </c:title>
    <c:autoTitleDeleted val="0"/>
    <c:pivotFmts>
      <c:pivotFmt>
        <c:idx val="0"/>
        <c:spPr>
          <a:solidFill>
            <a:schemeClr val="tx2">
              <a:lumMod val="90000"/>
              <a:lumOff val="10000"/>
            </a:schemeClr>
          </a:solidFill>
          <a:ln>
            <a:noFill/>
          </a:ln>
          <a:effectLst/>
        </c:spPr>
        <c:marker>
          <c:symbol val="none"/>
        </c:marker>
        <c:dLbl>
          <c:idx val="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it-IT"/>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tx2">
              <a:lumMod val="75000"/>
              <a:lumOff val="25000"/>
            </a:schemeClr>
          </a:solidFill>
          <a:ln>
            <a:noFill/>
          </a:ln>
          <a:effectLst/>
        </c:spPr>
        <c:marker>
          <c:symbol val="none"/>
        </c:marker>
        <c:dLbl>
          <c:idx val="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it-IT"/>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tx2">
              <a:lumMod val="50000"/>
              <a:lumOff val="50000"/>
            </a:schemeClr>
          </a:solidFill>
          <a:ln>
            <a:noFill/>
          </a:ln>
          <a:effectLst/>
        </c:spPr>
        <c:marker>
          <c:symbol val="none"/>
        </c:marker>
        <c:dLbl>
          <c:idx val="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it-IT"/>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tx2">
              <a:lumMod val="25000"/>
              <a:lumOff val="75000"/>
            </a:schemeClr>
          </a:solidFill>
          <a:ln>
            <a:noFill/>
          </a:ln>
          <a:effectLst/>
        </c:spPr>
        <c:marker>
          <c:symbol val="none"/>
        </c:marker>
        <c:dLbl>
          <c:idx val="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it-IT"/>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'05_Regional_Sales_Insights'!$C$3:$C$4</c:f>
              <c:strCache>
                <c:ptCount val="1"/>
                <c:pt idx="0">
                  <c:v>Emerging Professionals</c:v>
                </c:pt>
              </c:strCache>
            </c:strRef>
          </c:tx>
          <c:spPr>
            <a:solidFill>
              <a:schemeClr val="tx2">
                <a:lumMod val="90000"/>
                <a:lumOff val="10000"/>
              </a:schemeClr>
            </a:solidFill>
            <a:ln>
              <a:noFill/>
            </a:ln>
            <a:effectLst/>
          </c:spPr>
          <c:invertIfNegative val="0"/>
          <c:dLbls>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it-IT"/>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'05_Regional_Sales_Insights'!$B$5:$B$25</c:f>
              <c:strCache>
                <c:ptCount val="20"/>
                <c:pt idx="0">
                  <c:v>Aosta Valley</c:v>
                </c:pt>
                <c:pt idx="1">
                  <c:v>Calabria</c:v>
                </c:pt>
                <c:pt idx="2">
                  <c:v>Piedmont</c:v>
                </c:pt>
                <c:pt idx="3">
                  <c:v>Trentino-South Tyrol</c:v>
                </c:pt>
                <c:pt idx="4">
                  <c:v>Emilia-Romagna</c:v>
                </c:pt>
                <c:pt idx="5">
                  <c:v>Molise</c:v>
                </c:pt>
                <c:pt idx="6">
                  <c:v>Apulia</c:v>
                </c:pt>
                <c:pt idx="7">
                  <c:v>Lombardy</c:v>
                </c:pt>
                <c:pt idx="8">
                  <c:v>Veneto</c:v>
                </c:pt>
                <c:pt idx="9">
                  <c:v>Lazio</c:v>
                </c:pt>
                <c:pt idx="10">
                  <c:v>Liguria</c:v>
                </c:pt>
                <c:pt idx="11">
                  <c:v>Sicily</c:v>
                </c:pt>
                <c:pt idx="12">
                  <c:v>Abruzzo</c:v>
                </c:pt>
                <c:pt idx="13">
                  <c:v>Tuscany</c:v>
                </c:pt>
                <c:pt idx="14">
                  <c:v>Basilicata</c:v>
                </c:pt>
                <c:pt idx="15">
                  <c:v>Friuli-Venezia Giulia</c:v>
                </c:pt>
                <c:pt idx="16">
                  <c:v>Sardinia</c:v>
                </c:pt>
                <c:pt idx="17">
                  <c:v>Campania</c:v>
                </c:pt>
                <c:pt idx="18">
                  <c:v>Marche</c:v>
                </c:pt>
                <c:pt idx="19">
                  <c:v>Umbria</c:v>
                </c:pt>
              </c:strCache>
            </c:strRef>
          </c:cat>
          <c:val>
            <c:numRef>
              <c:f>'05_Regional_Sales_Insights'!$C$5:$C$25</c:f>
              <c:numCache>
                <c:formatCode>#,##0.00\ "€"</c:formatCode>
                <c:ptCount val="20"/>
                <c:pt idx="0">
                  <c:v>20.67</c:v>
                </c:pt>
                <c:pt idx="1">
                  <c:v>169.33</c:v>
                </c:pt>
                <c:pt idx="2">
                  <c:v>55.739999999999995</c:v>
                </c:pt>
                <c:pt idx="3">
                  <c:v>19.670000000000002</c:v>
                </c:pt>
                <c:pt idx="4">
                  <c:v>81.11</c:v>
                </c:pt>
                <c:pt idx="5">
                  <c:v>26.42</c:v>
                </c:pt>
                <c:pt idx="6">
                  <c:v>17.59</c:v>
                </c:pt>
                <c:pt idx="7">
                  <c:v>71.100000000000009</c:v>
                </c:pt>
                <c:pt idx="9">
                  <c:v>49.07</c:v>
                </c:pt>
                <c:pt idx="10">
                  <c:v>57.830000000000005</c:v>
                </c:pt>
                <c:pt idx="11">
                  <c:v>119.72</c:v>
                </c:pt>
                <c:pt idx="12">
                  <c:v>62.589999999999996</c:v>
                </c:pt>
                <c:pt idx="13">
                  <c:v>83.33</c:v>
                </c:pt>
                <c:pt idx="14">
                  <c:v>38.239999999999995</c:v>
                </c:pt>
                <c:pt idx="15">
                  <c:v>43.75</c:v>
                </c:pt>
                <c:pt idx="16">
                  <c:v>32.03</c:v>
                </c:pt>
                <c:pt idx="17">
                  <c:v>19.07</c:v>
                </c:pt>
                <c:pt idx="18">
                  <c:v>45.289999999999992</c:v>
                </c:pt>
              </c:numCache>
            </c:numRef>
          </c:val>
          <c:extLst>
            <c:ext xmlns:c16="http://schemas.microsoft.com/office/drawing/2014/chart" uri="{C3380CC4-5D6E-409C-BE32-E72D297353CC}">
              <c16:uniqueId val="{00000000-0352-DA4A-AE81-6A99F8A4C1E3}"/>
            </c:ext>
          </c:extLst>
        </c:ser>
        <c:ser>
          <c:idx val="1"/>
          <c:order val="1"/>
          <c:tx>
            <c:strRef>
              <c:f>'05_Regional_Sales_Insights'!$D$3:$D$4</c:f>
              <c:strCache>
                <c:ptCount val="1"/>
                <c:pt idx="0">
                  <c:v>Established Adults</c:v>
                </c:pt>
              </c:strCache>
            </c:strRef>
          </c:tx>
          <c:spPr>
            <a:solidFill>
              <a:schemeClr val="tx2">
                <a:lumMod val="75000"/>
                <a:lumOff val="25000"/>
              </a:schemeClr>
            </a:solidFill>
            <a:ln>
              <a:noFill/>
            </a:ln>
            <a:effectLst/>
          </c:spPr>
          <c:invertIfNegative val="0"/>
          <c:dLbls>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it-IT"/>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'05_Regional_Sales_Insights'!$B$5:$B$25</c:f>
              <c:strCache>
                <c:ptCount val="20"/>
                <c:pt idx="0">
                  <c:v>Aosta Valley</c:v>
                </c:pt>
                <c:pt idx="1">
                  <c:v>Calabria</c:v>
                </c:pt>
                <c:pt idx="2">
                  <c:v>Piedmont</c:v>
                </c:pt>
                <c:pt idx="3">
                  <c:v>Trentino-South Tyrol</c:v>
                </c:pt>
                <c:pt idx="4">
                  <c:v>Emilia-Romagna</c:v>
                </c:pt>
                <c:pt idx="5">
                  <c:v>Molise</c:v>
                </c:pt>
                <c:pt idx="6">
                  <c:v>Apulia</c:v>
                </c:pt>
                <c:pt idx="7">
                  <c:v>Lombardy</c:v>
                </c:pt>
                <c:pt idx="8">
                  <c:v>Veneto</c:v>
                </c:pt>
                <c:pt idx="9">
                  <c:v>Lazio</c:v>
                </c:pt>
                <c:pt idx="10">
                  <c:v>Liguria</c:v>
                </c:pt>
                <c:pt idx="11">
                  <c:v>Sicily</c:v>
                </c:pt>
                <c:pt idx="12">
                  <c:v>Abruzzo</c:v>
                </c:pt>
                <c:pt idx="13">
                  <c:v>Tuscany</c:v>
                </c:pt>
                <c:pt idx="14">
                  <c:v>Basilicata</c:v>
                </c:pt>
                <c:pt idx="15">
                  <c:v>Friuli-Venezia Giulia</c:v>
                </c:pt>
                <c:pt idx="16">
                  <c:v>Sardinia</c:v>
                </c:pt>
                <c:pt idx="17">
                  <c:v>Campania</c:v>
                </c:pt>
                <c:pt idx="18">
                  <c:v>Marche</c:v>
                </c:pt>
                <c:pt idx="19">
                  <c:v>Umbria</c:v>
                </c:pt>
              </c:strCache>
            </c:strRef>
          </c:cat>
          <c:val>
            <c:numRef>
              <c:f>'05_Regional_Sales_Insights'!$D$5:$D$25</c:f>
              <c:numCache>
                <c:formatCode>#,##0.00\ "€"</c:formatCode>
                <c:ptCount val="20"/>
                <c:pt idx="0">
                  <c:v>221.98999999999998</c:v>
                </c:pt>
                <c:pt idx="1">
                  <c:v>62.45</c:v>
                </c:pt>
                <c:pt idx="2">
                  <c:v>253.88</c:v>
                </c:pt>
                <c:pt idx="3">
                  <c:v>163.59</c:v>
                </c:pt>
                <c:pt idx="4">
                  <c:v>135.46</c:v>
                </c:pt>
                <c:pt idx="5">
                  <c:v>159.15</c:v>
                </c:pt>
                <c:pt idx="6">
                  <c:v>143.26000000000002</c:v>
                </c:pt>
                <c:pt idx="7">
                  <c:v>137.27000000000001</c:v>
                </c:pt>
                <c:pt idx="8">
                  <c:v>90.22</c:v>
                </c:pt>
                <c:pt idx="9">
                  <c:v>99.67</c:v>
                </c:pt>
                <c:pt idx="10">
                  <c:v>140.33000000000001</c:v>
                </c:pt>
                <c:pt idx="11">
                  <c:v>32.119999999999997</c:v>
                </c:pt>
                <c:pt idx="12">
                  <c:v>69.08</c:v>
                </c:pt>
                <c:pt idx="13">
                  <c:v>43.43</c:v>
                </c:pt>
                <c:pt idx="14">
                  <c:v>77.580000000000013</c:v>
                </c:pt>
                <c:pt idx="15">
                  <c:v>126.79</c:v>
                </c:pt>
                <c:pt idx="16">
                  <c:v>94.87</c:v>
                </c:pt>
                <c:pt idx="17">
                  <c:v>79.55</c:v>
                </c:pt>
                <c:pt idx="18">
                  <c:v>60.739999999999995</c:v>
                </c:pt>
                <c:pt idx="19">
                  <c:v>79.099999999999994</c:v>
                </c:pt>
              </c:numCache>
            </c:numRef>
          </c:val>
          <c:extLst>
            <c:ext xmlns:c16="http://schemas.microsoft.com/office/drawing/2014/chart" uri="{C3380CC4-5D6E-409C-BE32-E72D297353CC}">
              <c16:uniqueId val="{00000001-0352-DA4A-AE81-6A99F8A4C1E3}"/>
            </c:ext>
          </c:extLst>
        </c:ser>
        <c:ser>
          <c:idx val="2"/>
          <c:order val="2"/>
          <c:tx>
            <c:strRef>
              <c:f>'05_Regional_Sales_Insights'!$E$3:$E$4</c:f>
              <c:strCache>
                <c:ptCount val="1"/>
                <c:pt idx="0">
                  <c:v>Mature Customers</c:v>
                </c:pt>
              </c:strCache>
            </c:strRef>
          </c:tx>
          <c:spPr>
            <a:solidFill>
              <a:schemeClr val="tx2">
                <a:lumMod val="50000"/>
                <a:lumOff val="50000"/>
              </a:schemeClr>
            </a:solidFill>
            <a:ln>
              <a:noFill/>
            </a:ln>
            <a:effectLst/>
          </c:spPr>
          <c:invertIfNegative val="0"/>
          <c:dLbls>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it-IT"/>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'05_Regional_Sales_Insights'!$B$5:$B$25</c:f>
              <c:strCache>
                <c:ptCount val="20"/>
                <c:pt idx="0">
                  <c:v>Aosta Valley</c:v>
                </c:pt>
                <c:pt idx="1">
                  <c:v>Calabria</c:v>
                </c:pt>
                <c:pt idx="2">
                  <c:v>Piedmont</c:v>
                </c:pt>
                <c:pt idx="3">
                  <c:v>Trentino-South Tyrol</c:v>
                </c:pt>
                <c:pt idx="4">
                  <c:v>Emilia-Romagna</c:v>
                </c:pt>
                <c:pt idx="5">
                  <c:v>Molise</c:v>
                </c:pt>
                <c:pt idx="6">
                  <c:v>Apulia</c:v>
                </c:pt>
                <c:pt idx="7">
                  <c:v>Lombardy</c:v>
                </c:pt>
                <c:pt idx="8">
                  <c:v>Veneto</c:v>
                </c:pt>
                <c:pt idx="9">
                  <c:v>Lazio</c:v>
                </c:pt>
                <c:pt idx="10">
                  <c:v>Liguria</c:v>
                </c:pt>
                <c:pt idx="11">
                  <c:v>Sicily</c:v>
                </c:pt>
                <c:pt idx="12">
                  <c:v>Abruzzo</c:v>
                </c:pt>
                <c:pt idx="13">
                  <c:v>Tuscany</c:v>
                </c:pt>
                <c:pt idx="14">
                  <c:v>Basilicata</c:v>
                </c:pt>
                <c:pt idx="15">
                  <c:v>Friuli-Venezia Giulia</c:v>
                </c:pt>
                <c:pt idx="16">
                  <c:v>Sardinia</c:v>
                </c:pt>
                <c:pt idx="17">
                  <c:v>Campania</c:v>
                </c:pt>
                <c:pt idx="18">
                  <c:v>Marche</c:v>
                </c:pt>
                <c:pt idx="19">
                  <c:v>Umbria</c:v>
                </c:pt>
              </c:strCache>
            </c:strRef>
          </c:cat>
          <c:val>
            <c:numRef>
              <c:f>'05_Regional_Sales_Insights'!$E$5:$E$25</c:f>
              <c:numCache>
                <c:formatCode>#,##0.00\ "€"</c:formatCode>
                <c:ptCount val="20"/>
                <c:pt idx="1">
                  <c:v>60.46</c:v>
                </c:pt>
                <c:pt idx="2">
                  <c:v>30.64</c:v>
                </c:pt>
                <c:pt idx="3">
                  <c:v>129.26999999999998</c:v>
                </c:pt>
                <c:pt idx="4">
                  <c:v>104.29</c:v>
                </c:pt>
                <c:pt idx="5">
                  <c:v>36.18</c:v>
                </c:pt>
                <c:pt idx="6">
                  <c:v>61.57</c:v>
                </c:pt>
                <c:pt idx="8">
                  <c:v>94.22999999999999</c:v>
                </c:pt>
                <c:pt idx="9">
                  <c:v>22.2</c:v>
                </c:pt>
                <c:pt idx="11">
                  <c:v>13.75</c:v>
                </c:pt>
                <c:pt idx="12">
                  <c:v>20.059999999999999</c:v>
                </c:pt>
                <c:pt idx="14">
                  <c:v>28.23</c:v>
                </c:pt>
                <c:pt idx="16">
                  <c:v>16.54</c:v>
                </c:pt>
                <c:pt idx="18">
                  <c:v>23.18</c:v>
                </c:pt>
              </c:numCache>
            </c:numRef>
          </c:val>
          <c:extLst>
            <c:ext xmlns:c16="http://schemas.microsoft.com/office/drawing/2014/chart" uri="{C3380CC4-5D6E-409C-BE32-E72D297353CC}">
              <c16:uniqueId val="{00000002-0352-DA4A-AE81-6A99F8A4C1E3}"/>
            </c:ext>
          </c:extLst>
        </c:ser>
        <c:ser>
          <c:idx val="3"/>
          <c:order val="3"/>
          <c:tx>
            <c:strRef>
              <c:f>'05_Regional_Sales_Insights'!$F$3:$F$4</c:f>
              <c:strCache>
                <c:ptCount val="1"/>
                <c:pt idx="0">
                  <c:v>Young Adults</c:v>
                </c:pt>
              </c:strCache>
            </c:strRef>
          </c:tx>
          <c:spPr>
            <a:solidFill>
              <a:schemeClr val="tx2">
                <a:lumMod val="25000"/>
                <a:lumOff val="75000"/>
              </a:schemeClr>
            </a:solidFill>
            <a:ln>
              <a:noFill/>
            </a:ln>
            <a:effectLst/>
          </c:spPr>
          <c:invertIfNegative val="0"/>
          <c:dLbls>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it-IT"/>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'05_Regional_Sales_Insights'!$B$5:$B$25</c:f>
              <c:strCache>
                <c:ptCount val="20"/>
                <c:pt idx="0">
                  <c:v>Aosta Valley</c:v>
                </c:pt>
                <c:pt idx="1">
                  <c:v>Calabria</c:v>
                </c:pt>
                <c:pt idx="2">
                  <c:v>Piedmont</c:v>
                </c:pt>
                <c:pt idx="3">
                  <c:v>Trentino-South Tyrol</c:v>
                </c:pt>
                <c:pt idx="4">
                  <c:v>Emilia-Romagna</c:v>
                </c:pt>
                <c:pt idx="5">
                  <c:v>Molise</c:v>
                </c:pt>
                <c:pt idx="6">
                  <c:v>Apulia</c:v>
                </c:pt>
                <c:pt idx="7">
                  <c:v>Lombardy</c:v>
                </c:pt>
                <c:pt idx="8">
                  <c:v>Veneto</c:v>
                </c:pt>
                <c:pt idx="9">
                  <c:v>Lazio</c:v>
                </c:pt>
                <c:pt idx="10">
                  <c:v>Liguria</c:v>
                </c:pt>
                <c:pt idx="11">
                  <c:v>Sicily</c:v>
                </c:pt>
                <c:pt idx="12">
                  <c:v>Abruzzo</c:v>
                </c:pt>
                <c:pt idx="13">
                  <c:v>Tuscany</c:v>
                </c:pt>
                <c:pt idx="14">
                  <c:v>Basilicata</c:v>
                </c:pt>
                <c:pt idx="15">
                  <c:v>Friuli-Venezia Giulia</c:v>
                </c:pt>
                <c:pt idx="16">
                  <c:v>Sardinia</c:v>
                </c:pt>
                <c:pt idx="17">
                  <c:v>Campania</c:v>
                </c:pt>
                <c:pt idx="18">
                  <c:v>Marche</c:v>
                </c:pt>
                <c:pt idx="19">
                  <c:v>Umbria</c:v>
                </c:pt>
              </c:strCache>
            </c:strRef>
          </c:cat>
          <c:val>
            <c:numRef>
              <c:f>'05_Regional_Sales_Insights'!$F$5:$F$25</c:f>
              <c:numCache>
                <c:formatCode>#,##0.00\ "€"</c:formatCode>
                <c:ptCount val="20"/>
                <c:pt idx="0">
                  <c:v>146.12</c:v>
                </c:pt>
                <c:pt idx="1">
                  <c:v>89.839999999999989</c:v>
                </c:pt>
                <c:pt idx="2">
                  <c:v>38.549999999999997</c:v>
                </c:pt>
                <c:pt idx="3">
                  <c:v>62.949999999999996</c:v>
                </c:pt>
                <c:pt idx="4">
                  <c:v>18.05</c:v>
                </c:pt>
                <c:pt idx="5">
                  <c:v>96.76</c:v>
                </c:pt>
                <c:pt idx="6">
                  <c:v>60.39</c:v>
                </c:pt>
                <c:pt idx="7">
                  <c:v>70.259999999999991</c:v>
                </c:pt>
                <c:pt idx="8">
                  <c:v>67.239999999999995</c:v>
                </c:pt>
                <c:pt idx="9">
                  <c:v>64.38</c:v>
                </c:pt>
                <c:pt idx="10">
                  <c:v>20.13</c:v>
                </c:pt>
                <c:pt idx="11">
                  <c:v>32.510000000000005</c:v>
                </c:pt>
                <c:pt idx="12">
                  <c:v>43.430000000000007</c:v>
                </c:pt>
                <c:pt idx="13">
                  <c:v>65.44</c:v>
                </c:pt>
                <c:pt idx="14">
                  <c:v>40.04</c:v>
                </c:pt>
                <c:pt idx="16">
                  <c:v>20.75</c:v>
                </c:pt>
                <c:pt idx="17">
                  <c:v>56.2</c:v>
                </c:pt>
                <c:pt idx="19">
                  <c:v>18.84</c:v>
                </c:pt>
              </c:numCache>
            </c:numRef>
          </c:val>
          <c:extLst>
            <c:ext xmlns:c16="http://schemas.microsoft.com/office/drawing/2014/chart" uri="{C3380CC4-5D6E-409C-BE32-E72D297353CC}">
              <c16:uniqueId val="{00000003-0352-DA4A-AE81-6A99F8A4C1E3}"/>
            </c:ext>
          </c:extLst>
        </c:ser>
        <c:dLbls>
          <c:dLblPos val="outEnd"/>
          <c:showLegendKey val="0"/>
          <c:showVal val="1"/>
          <c:showCatName val="0"/>
          <c:showSerName val="0"/>
          <c:showPercent val="0"/>
          <c:showBubbleSize val="0"/>
        </c:dLbls>
        <c:gapWidth val="444"/>
        <c:overlap val="-90"/>
        <c:axId val="807428415"/>
        <c:axId val="806818175"/>
      </c:barChart>
      <c:catAx>
        <c:axId val="807428415"/>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500" b="1" i="0" u="none" strike="noStrike" kern="1200" cap="all" spc="120" normalizeH="0" baseline="0">
                <a:solidFill>
                  <a:schemeClr val="tx1">
                    <a:lumMod val="65000"/>
                    <a:lumOff val="35000"/>
                  </a:schemeClr>
                </a:solidFill>
                <a:latin typeface="Calibri" panose="020F0502020204030204" pitchFamily="34" charset="0"/>
                <a:ea typeface="+mn-ea"/>
                <a:cs typeface="Calibri" panose="020F0502020204030204" pitchFamily="34" charset="0"/>
              </a:defRPr>
            </a:pPr>
            <a:endParaRPr lang="it-IT"/>
          </a:p>
        </c:txPr>
        <c:crossAx val="806818175"/>
        <c:crosses val="autoZero"/>
        <c:auto val="1"/>
        <c:lblAlgn val="ctr"/>
        <c:lblOffset val="100"/>
        <c:noMultiLvlLbl val="0"/>
      </c:catAx>
      <c:valAx>
        <c:axId val="806818175"/>
        <c:scaling>
          <c:orientation val="minMax"/>
        </c:scaling>
        <c:delete val="1"/>
        <c:axPos val="l"/>
        <c:numFmt formatCode="#,##0.00\ &quot;€&quot;" sourceLinked="1"/>
        <c:majorTickMark val="none"/>
        <c:minorTickMark val="none"/>
        <c:tickLblPos val="nextTo"/>
        <c:crossAx val="807428415"/>
        <c:crosses val="autoZero"/>
        <c:crossBetween val="between"/>
      </c:valAx>
      <c:spPr>
        <a:noFill/>
        <a:ln>
          <a:noFill/>
        </a:ln>
        <a:effectLst/>
      </c:spPr>
    </c:plotArea>
    <c:legend>
      <c:legendPos val="t"/>
      <c:layout>
        <c:manualLayout>
          <c:xMode val="edge"/>
          <c:yMode val="edge"/>
          <c:x val="0.25389285648887078"/>
          <c:y val="0.14060052818627769"/>
          <c:w val="0.49233896411827893"/>
          <c:h val="3.5553486506574382E-2"/>
        </c:manualLayout>
      </c:layout>
      <c:overlay val="0"/>
      <c:spPr>
        <a:noFill/>
        <a:ln>
          <a:noFill/>
        </a:ln>
        <a:effectLst/>
      </c:spPr>
      <c:txPr>
        <a:bodyPr rot="0" spcFirstLastPara="1" vertOverflow="ellipsis" vert="horz" wrap="square" anchor="ctr" anchorCtr="1"/>
        <a:lstStyle/>
        <a:p>
          <a:pPr>
            <a:defRPr sz="2500" b="1" i="0" u="none" strike="noStrike" kern="1200" baseline="0">
              <a:solidFill>
                <a:schemeClr val="tx1">
                  <a:lumMod val="65000"/>
                  <a:lumOff val="35000"/>
                </a:schemeClr>
              </a:solidFill>
              <a:latin typeface="+mn-lt"/>
              <a:ea typeface="+mn-ea"/>
              <a:cs typeface="+mn-cs"/>
            </a:defRPr>
          </a:pPr>
          <a:endParaRPr lang="it-IT"/>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9525" cap="flat" cmpd="sng" algn="ctr">
      <a:solidFill>
        <a:schemeClr val="tx1">
          <a:lumMod val="15000"/>
          <a:lumOff val="85000"/>
        </a:schemeClr>
      </a:solidFill>
      <a:round/>
    </a:ln>
    <a:effectLst>
      <a:outerShdw blurRad="50800" dist="38100" dir="2700000" algn="tl" rotWithShape="0">
        <a:prstClr val="black">
          <a:alpha val="40000"/>
        </a:prstClr>
      </a:outerShdw>
    </a:effectLst>
  </c:spPr>
  <c:txPr>
    <a:bodyPr/>
    <a:lstStyle/>
    <a:p>
      <a:pPr>
        <a:defRPr/>
      </a:pPr>
      <a:endParaRPr lang="it-IT"/>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it-IT"/>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2500" b="1" i="0" u="none" strike="noStrike" kern="1200" spc="70" baseline="0">
                <a:solidFill>
                  <a:schemeClr val="dk1">
                    <a:lumMod val="50000"/>
                    <a:lumOff val="50000"/>
                  </a:schemeClr>
                </a:solidFill>
                <a:latin typeface="+mn-lt"/>
                <a:ea typeface="+mn-ea"/>
                <a:cs typeface="+mn-cs"/>
              </a:defRPr>
            </a:pPr>
            <a:r>
              <a:rPr lang="it-IT" sz="2500" b="1" i="0" u="none" strike="noStrike" baseline="0"/>
              <a:t>Correlation between Contact Cost and Total Spent</a:t>
            </a:r>
            <a:endParaRPr lang="en-US" sz="2500" b="1"/>
          </a:p>
        </c:rich>
      </c:tx>
      <c:overlay val="0"/>
      <c:spPr>
        <a:noFill/>
        <a:ln>
          <a:noFill/>
        </a:ln>
        <a:effectLst/>
      </c:spPr>
      <c:txPr>
        <a:bodyPr rot="0" spcFirstLastPara="1" vertOverflow="ellipsis" vert="horz" wrap="square" anchor="ctr" anchorCtr="1"/>
        <a:lstStyle/>
        <a:p>
          <a:pPr>
            <a:defRPr sz="2500" b="1" i="0" u="none" strike="noStrike" kern="1200" spc="70" baseline="0">
              <a:solidFill>
                <a:schemeClr val="dk1">
                  <a:lumMod val="50000"/>
                  <a:lumOff val="50000"/>
                </a:schemeClr>
              </a:solidFill>
              <a:latin typeface="+mn-lt"/>
              <a:ea typeface="+mn-ea"/>
              <a:cs typeface="+mn-cs"/>
            </a:defRPr>
          </a:pPr>
          <a:endParaRPr lang="en-US"/>
        </a:p>
      </c:txPr>
    </c:title>
    <c:autoTitleDeleted val="0"/>
    <c:plotArea>
      <c:layout/>
      <c:scatterChart>
        <c:scatterStyle val="lineMarker"/>
        <c:varyColors val="0"/>
        <c:ser>
          <c:idx val="0"/>
          <c:order val="0"/>
          <c:tx>
            <c:strRef>
              <c:f>'06_Marketing_Effectiveness'!$B$1</c:f>
              <c:strCache>
                <c:ptCount val="1"/>
                <c:pt idx="0">
                  <c:v>Total_Spent (€)</c:v>
                </c:pt>
              </c:strCache>
            </c:strRef>
          </c:tx>
          <c:spPr>
            <a:ln w="25400">
              <a:noFill/>
            </a:ln>
            <a:effectLst/>
          </c:spPr>
          <c:marker>
            <c:symbol val="circle"/>
            <c:size val="6"/>
            <c:spPr>
              <a:solidFill>
                <a:schemeClr val="accent1"/>
              </a:solidFill>
              <a:ln w="9525" cap="flat" cmpd="sng" algn="ctr">
                <a:solidFill>
                  <a:schemeClr val="accent1"/>
                </a:solidFill>
                <a:round/>
              </a:ln>
              <a:effectLst/>
            </c:spPr>
          </c:marker>
          <c:trendline>
            <c:spPr>
              <a:ln w="63500" cap="rnd" cmpd="sng" algn="ctr">
                <a:solidFill>
                  <a:schemeClr val="accent1">
                    <a:alpha val="25000"/>
                  </a:schemeClr>
                </a:solidFill>
                <a:round/>
              </a:ln>
              <a:effectLst/>
            </c:spPr>
            <c:trendlineType val="linear"/>
            <c:dispRSqr val="0"/>
            <c:dispEq val="0"/>
          </c:trendline>
          <c:trendline>
            <c:spPr>
              <a:ln w="63500" cap="rnd" cmpd="sng" algn="ctr">
                <a:solidFill>
                  <a:schemeClr val="accent1">
                    <a:alpha val="25000"/>
                  </a:schemeClr>
                </a:solidFill>
                <a:round/>
              </a:ln>
              <a:effectLst/>
            </c:spPr>
            <c:trendlineType val="linear"/>
            <c:dispRSqr val="1"/>
            <c:dispEq val="1"/>
            <c:trendlineLbl>
              <c:layout>
                <c:manualLayout>
                  <c:x val="0.10359262839942524"/>
                  <c:y val="-5.9447913642103065E-3"/>
                </c:manualLayout>
              </c:layout>
              <c:tx>
                <c:rich>
                  <a:bodyPr rot="0" spcFirstLastPara="1" vertOverflow="ellipsis" vert="horz" wrap="square" anchor="ctr" anchorCtr="1"/>
                  <a:lstStyle/>
                  <a:p>
                    <a:pPr>
                      <a:defRPr sz="1500" b="1" i="0" u="none" strike="noStrike" kern="1200" baseline="0">
                        <a:solidFill>
                          <a:srgbClr val="C00000"/>
                        </a:solidFill>
                        <a:latin typeface="Calibri" panose="020F0502020204030204" pitchFamily="34" charset="0"/>
                        <a:ea typeface="+mn-ea"/>
                        <a:cs typeface="Calibri" panose="020F0502020204030204" pitchFamily="34" charset="0"/>
                      </a:defRPr>
                    </a:pPr>
                    <a:r>
                      <a:rPr lang="en-US" sz="1500" b="1" baseline="0">
                        <a:solidFill>
                          <a:srgbClr val="C00000"/>
                        </a:solidFill>
                        <a:latin typeface="Calibri" panose="020F0502020204030204" pitchFamily="34" charset="0"/>
                        <a:cs typeface="Calibri" panose="020F0502020204030204" pitchFamily="34" charset="0"/>
                      </a:rPr>
                      <a:t>y = -0,321x + 21,928</a:t>
                    </a:r>
                    <a:br>
                      <a:rPr lang="en-US" sz="1500" b="1" baseline="0">
                        <a:solidFill>
                          <a:srgbClr val="C00000"/>
                        </a:solidFill>
                        <a:latin typeface="Calibri" panose="020F0502020204030204" pitchFamily="34" charset="0"/>
                        <a:cs typeface="Calibri" panose="020F0502020204030204" pitchFamily="34" charset="0"/>
                      </a:rPr>
                    </a:br>
                    <a:r>
                      <a:rPr lang="en-US" sz="1500" b="1" baseline="0">
                        <a:solidFill>
                          <a:srgbClr val="C00000"/>
                        </a:solidFill>
                        <a:latin typeface="Calibri" panose="020F0502020204030204" pitchFamily="34" charset="0"/>
                        <a:cs typeface="Calibri" panose="020F0502020204030204" pitchFamily="34" charset="0"/>
                      </a:rPr>
                      <a:t>R² = 0,0094</a:t>
                    </a:r>
                    <a:endParaRPr lang="en-US" sz="1500" b="1">
                      <a:solidFill>
                        <a:srgbClr val="C00000"/>
                      </a:solidFill>
                      <a:latin typeface="Calibri" panose="020F0502020204030204" pitchFamily="34" charset="0"/>
                      <a:cs typeface="Calibri" panose="020F0502020204030204" pitchFamily="34" charset="0"/>
                    </a:endParaRPr>
                  </a:p>
                </c:rich>
              </c:tx>
              <c:numFmt formatCode="General" sourceLinked="0"/>
              <c:spPr>
                <a:noFill/>
                <a:ln>
                  <a:noFill/>
                </a:ln>
                <a:effectLst/>
              </c:spPr>
              <c:txPr>
                <a:bodyPr rot="0" spcFirstLastPara="1" vertOverflow="ellipsis" vert="horz" wrap="square" anchor="ctr" anchorCtr="1"/>
                <a:lstStyle/>
                <a:p>
                  <a:pPr>
                    <a:defRPr sz="1500" b="1" i="0" u="none" strike="noStrike" kern="1200" baseline="0">
                      <a:solidFill>
                        <a:srgbClr val="C00000"/>
                      </a:solidFill>
                      <a:latin typeface="Calibri" panose="020F0502020204030204" pitchFamily="34" charset="0"/>
                      <a:ea typeface="+mn-ea"/>
                      <a:cs typeface="Calibri" panose="020F0502020204030204" pitchFamily="34" charset="0"/>
                    </a:defRPr>
                  </a:pPr>
                  <a:endParaRPr lang="en-US"/>
                </a:p>
              </c:txPr>
            </c:trendlineLbl>
          </c:trendline>
          <c:xVal>
            <c:numRef>
              <c:f>'06_Marketing_Effectiveness'!$A$2:$A$248</c:f>
              <c:numCache>
                <c:formatCode>General</c:formatCode>
                <c:ptCount val="247"/>
                <c:pt idx="0">
                  <c:v>2.92</c:v>
                </c:pt>
                <c:pt idx="1">
                  <c:v>7.79</c:v>
                </c:pt>
                <c:pt idx="2">
                  <c:v>6.68</c:v>
                </c:pt>
                <c:pt idx="3">
                  <c:v>8.23</c:v>
                </c:pt>
                <c:pt idx="4">
                  <c:v>2.41</c:v>
                </c:pt>
                <c:pt idx="5">
                  <c:v>9.26</c:v>
                </c:pt>
                <c:pt idx="6">
                  <c:v>4.1399999999999997</c:v>
                </c:pt>
                <c:pt idx="7">
                  <c:v>2.89</c:v>
                </c:pt>
                <c:pt idx="8">
                  <c:v>2.34</c:v>
                </c:pt>
                <c:pt idx="9">
                  <c:v>7.95</c:v>
                </c:pt>
                <c:pt idx="10">
                  <c:v>7.71</c:v>
                </c:pt>
                <c:pt idx="11">
                  <c:v>8.5399999999999991</c:v>
                </c:pt>
                <c:pt idx="12">
                  <c:v>3.56</c:v>
                </c:pt>
                <c:pt idx="13">
                  <c:v>7.91</c:v>
                </c:pt>
                <c:pt idx="14">
                  <c:v>9.14</c:v>
                </c:pt>
                <c:pt idx="15">
                  <c:v>5.05</c:v>
                </c:pt>
                <c:pt idx="16">
                  <c:v>4.51</c:v>
                </c:pt>
                <c:pt idx="17">
                  <c:v>4.7300000000000004</c:v>
                </c:pt>
                <c:pt idx="18">
                  <c:v>8.6</c:v>
                </c:pt>
                <c:pt idx="19">
                  <c:v>6.04</c:v>
                </c:pt>
                <c:pt idx="20">
                  <c:v>8.2799999999999994</c:v>
                </c:pt>
                <c:pt idx="21">
                  <c:v>3.5</c:v>
                </c:pt>
                <c:pt idx="22">
                  <c:v>9.7899999999999991</c:v>
                </c:pt>
                <c:pt idx="23">
                  <c:v>6.5</c:v>
                </c:pt>
                <c:pt idx="24">
                  <c:v>5.89</c:v>
                </c:pt>
                <c:pt idx="25">
                  <c:v>4.92</c:v>
                </c:pt>
                <c:pt idx="26">
                  <c:v>6.41</c:v>
                </c:pt>
                <c:pt idx="27">
                  <c:v>4.62</c:v>
                </c:pt>
                <c:pt idx="28">
                  <c:v>9.43</c:v>
                </c:pt>
                <c:pt idx="29">
                  <c:v>2.12</c:v>
                </c:pt>
                <c:pt idx="30">
                  <c:v>7.57</c:v>
                </c:pt>
                <c:pt idx="31">
                  <c:v>4.4400000000000004</c:v>
                </c:pt>
                <c:pt idx="32">
                  <c:v>2.58</c:v>
                </c:pt>
                <c:pt idx="33">
                  <c:v>5.78</c:v>
                </c:pt>
                <c:pt idx="34">
                  <c:v>6.9</c:v>
                </c:pt>
                <c:pt idx="35">
                  <c:v>8.35</c:v>
                </c:pt>
                <c:pt idx="36">
                  <c:v>8.64</c:v>
                </c:pt>
                <c:pt idx="37">
                  <c:v>3.42</c:v>
                </c:pt>
                <c:pt idx="38">
                  <c:v>7.36</c:v>
                </c:pt>
                <c:pt idx="39">
                  <c:v>4.79</c:v>
                </c:pt>
                <c:pt idx="40">
                  <c:v>8.67</c:v>
                </c:pt>
                <c:pt idx="41">
                  <c:v>5.54</c:v>
                </c:pt>
                <c:pt idx="42">
                  <c:v>5.8</c:v>
                </c:pt>
                <c:pt idx="43">
                  <c:v>9.86</c:v>
                </c:pt>
                <c:pt idx="44">
                  <c:v>8.4700000000000006</c:v>
                </c:pt>
                <c:pt idx="45">
                  <c:v>2.5299999999999998</c:v>
                </c:pt>
                <c:pt idx="46">
                  <c:v>2.6</c:v>
                </c:pt>
                <c:pt idx="47">
                  <c:v>3.61</c:v>
                </c:pt>
                <c:pt idx="48">
                  <c:v>5.79</c:v>
                </c:pt>
                <c:pt idx="49">
                  <c:v>4.18</c:v>
                </c:pt>
                <c:pt idx="50">
                  <c:v>3.66</c:v>
                </c:pt>
                <c:pt idx="51">
                  <c:v>7.7</c:v>
                </c:pt>
                <c:pt idx="52">
                  <c:v>3.46</c:v>
                </c:pt>
                <c:pt idx="53">
                  <c:v>9.93</c:v>
                </c:pt>
                <c:pt idx="54">
                  <c:v>4.57</c:v>
                </c:pt>
                <c:pt idx="55">
                  <c:v>5.24</c:v>
                </c:pt>
                <c:pt idx="56">
                  <c:v>2.94</c:v>
                </c:pt>
                <c:pt idx="57">
                  <c:v>3.26</c:v>
                </c:pt>
                <c:pt idx="58">
                  <c:v>3.13</c:v>
                </c:pt>
                <c:pt idx="59">
                  <c:v>8.83</c:v>
                </c:pt>
                <c:pt idx="60">
                  <c:v>3.98</c:v>
                </c:pt>
                <c:pt idx="61">
                  <c:v>3.16</c:v>
                </c:pt>
                <c:pt idx="62">
                  <c:v>9.3000000000000007</c:v>
                </c:pt>
                <c:pt idx="63">
                  <c:v>2.0299999999999998</c:v>
                </c:pt>
                <c:pt idx="64">
                  <c:v>4.2</c:v>
                </c:pt>
                <c:pt idx="65">
                  <c:v>4.5199999999999996</c:v>
                </c:pt>
                <c:pt idx="66">
                  <c:v>9.76</c:v>
                </c:pt>
                <c:pt idx="67">
                  <c:v>9.43</c:v>
                </c:pt>
                <c:pt idx="68">
                  <c:v>9.8000000000000007</c:v>
                </c:pt>
                <c:pt idx="69">
                  <c:v>3.75</c:v>
                </c:pt>
                <c:pt idx="70">
                  <c:v>6.95</c:v>
                </c:pt>
                <c:pt idx="71">
                  <c:v>6.31</c:v>
                </c:pt>
                <c:pt idx="72">
                  <c:v>7.64</c:v>
                </c:pt>
                <c:pt idx="73">
                  <c:v>5.03</c:v>
                </c:pt>
                <c:pt idx="74">
                  <c:v>2.0699999999999998</c:v>
                </c:pt>
                <c:pt idx="75">
                  <c:v>4.88</c:v>
                </c:pt>
                <c:pt idx="76">
                  <c:v>2.59</c:v>
                </c:pt>
                <c:pt idx="77">
                  <c:v>7.57</c:v>
                </c:pt>
                <c:pt idx="78">
                  <c:v>9.5399999999999991</c:v>
                </c:pt>
                <c:pt idx="79">
                  <c:v>3.1</c:v>
                </c:pt>
                <c:pt idx="80">
                  <c:v>2.56</c:v>
                </c:pt>
                <c:pt idx="81">
                  <c:v>3.67</c:v>
                </c:pt>
                <c:pt idx="82">
                  <c:v>2.4700000000000002</c:v>
                </c:pt>
                <c:pt idx="83">
                  <c:v>6.08</c:v>
                </c:pt>
                <c:pt idx="84">
                  <c:v>9.5299999999999994</c:v>
                </c:pt>
                <c:pt idx="85">
                  <c:v>3.84</c:v>
                </c:pt>
                <c:pt idx="86">
                  <c:v>2.64</c:v>
                </c:pt>
                <c:pt idx="87">
                  <c:v>5.41</c:v>
                </c:pt>
                <c:pt idx="88">
                  <c:v>9.5500000000000007</c:v>
                </c:pt>
                <c:pt idx="89">
                  <c:v>5.61</c:v>
                </c:pt>
                <c:pt idx="90">
                  <c:v>8</c:v>
                </c:pt>
                <c:pt idx="91">
                  <c:v>8.7100000000000009</c:v>
                </c:pt>
                <c:pt idx="92">
                  <c:v>8.23</c:v>
                </c:pt>
                <c:pt idx="93">
                  <c:v>5.61</c:v>
                </c:pt>
                <c:pt idx="94">
                  <c:v>7.77</c:v>
                </c:pt>
                <c:pt idx="95">
                  <c:v>8.16</c:v>
                </c:pt>
                <c:pt idx="96">
                  <c:v>3.23</c:v>
                </c:pt>
                <c:pt idx="97">
                  <c:v>3.57</c:v>
                </c:pt>
                <c:pt idx="98">
                  <c:v>2.41</c:v>
                </c:pt>
                <c:pt idx="99">
                  <c:v>5.5</c:v>
                </c:pt>
                <c:pt idx="100">
                  <c:v>6.67</c:v>
                </c:pt>
                <c:pt idx="101">
                  <c:v>6.69</c:v>
                </c:pt>
                <c:pt idx="102">
                  <c:v>7.86</c:v>
                </c:pt>
                <c:pt idx="103">
                  <c:v>7.95</c:v>
                </c:pt>
                <c:pt idx="104">
                  <c:v>5.08</c:v>
                </c:pt>
                <c:pt idx="105">
                  <c:v>6.4</c:v>
                </c:pt>
                <c:pt idx="106">
                  <c:v>8.6199999999999992</c:v>
                </c:pt>
                <c:pt idx="107">
                  <c:v>6.42</c:v>
                </c:pt>
                <c:pt idx="108">
                  <c:v>5.71</c:v>
                </c:pt>
                <c:pt idx="109">
                  <c:v>7.01</c:v>
                </c:pt>
                <c:pt idx="110">
                  <c:v>6.44</c:v>
                </c:pt>
                <c:pt idx="111">
                  <c:v>5</c:v>
                </c:pt>
                <c:pt idx="112">
                  <c:v>3.48</c:v>
                </c:pt>
                <c:pt idx="113">
                  <c:v>2.14</c:v>
                </c:pt>
                <c:pt idx="114">
                  <c:v>4.32</c:v>
                </c:pt>
                <c:pt idx="115">
                  <c:v>8.25</c:v>
                </c:pt>
                <c:pt idx="116">
                  <c:v>8.8000000000000007</c:v>
                </c:pt>
                <c:pt idx="117">
                  <c:v>8.33</c:v>
                </c:pt>
                <c:pt idx="118">
                  <c:v>6.48</c:v>
                </c:pt>
                <c:pt idx="119">
                  <c:v>9.92</c:v>
                </c:pt>
                <c:pt idx="120">
                  <c:v>7.77</c:v>
                </c:pt>
                <c:pt idx="121">
                  <c:v>4.17</c:v>
                </c:pt>
                <c:pt idx="122">
                  <c:v>2.84</c:v>
                </c:pt>
                <c:pt idx="123">
                  <c:v>5.32</c:v>
                </c:pt>
                <c:pt idx="124">
                  <c:v>6.66</c:v>
                </c:pt>
                <c:pt idx="125">
                  <c:v>3.07</c:v>
                </c:pt>
                <c:pt idx="126">
                  <c:v>9.16</c:v>
                </c:pt>
                <c:pt idx="127">
                  <c:v>7.72</c:v>
                </c:pt>
                <c:pt idx="128">
                  <c:v>4.21</c:v>
                </c:pt>
                <c:pt idx="129">
                  <c:v>9.06</c:v>
                </c:pt>
                <c:pt idx="130">
                  <c:v>2.06</c:v>
                </c:pt>
                <c:pt idx="131">
                  <c:v>7.14</c:v>
                </c:pt>
                <c:pt idx="132">
                  <c:v>8.69</c:v>
                </c:pt>
                <c:pt idx="133">
                  <c:v>5.98</c:v>
                </c:pt>
                <c:pt idx="134">
                  <c:v>8.41</c:v>
                </c:pt>
                <c:pt idx="135">
                  <c:v>9.16</c:v>
                </c:pt>
                <c:pt idx="136">
                  <c:v>8.99</c:v>
                </c:pt>
                <c:pt idx="137">
                  <c:v>8.17</c:v>
                </c:pt>
                <c:pt idx="138">
                  <c:v>6.4</c:v>
                </c:pt>
                <c:pt idx="139">
                  <c:v>3.84</c:v>
                </c:pt>
                <c:pt idx="140">
                  <c:v>8.1300000000000008</c:v>
                </c:pt>
                <c:pt idx="141">
                  <c:v>9.35</c:v>
                </c:pt>
                <c:pt idx="142">
                  <c:v>8.6199999999999992</c:v>
                </c:pt>
                <c:pt idx="143">
                  <c:v>6.1</c:v>
                </c:pt>
                <c:pt idx="144">
                  <c:v>6.83</c:v>
                </c:pt>
                <c:pt idx="145">
                  <c:v>2.2999999999999998</c:v>
                </c:pt>
                <c:pt idx="146">
                  <c:v>8.84</c:v>
                </c:pt>
                <c:pt idx="147">
                  <c:v>9.52</c:v>
                </c:pt>
                <c:pt idx="148">
                  <c:v>3.96</c:v>
                </c:pt>
                <c:pt idx="149">
                  <c:v>9.7100000000000009</c:v>
                </c:pt>
                <c:pt idx="150">
                  <c:v>3.34</c:v>
                </c:pt>
                <c:pt idx="151">
                  <c:v>9.23</c:v>
                </c:pt>
                <c:pt idx="152">
                  <c:v>2.5</c:v>
                </c:pt>
                <c:pt idx="153">
                  <c:v>9.0399999999999991</c:v>
                </c:pt>
                <c:pt idx="154">
                  <c:v>5.35</c:v>
                </c:pt>
                <c:pt idx="155">
                  <c:v>6.49</c:v>
                </c:pt>
                <c:pt idx="156">
                  <c:v>8.69</c:v>
                </c:pt>
                <c:pt idx="157">
                  <c:v>2.88</c:v>
                </c:pt>
                <c:pt idx="158">
                  <c:v>2.5099999999999998</c:v>
                </c:pt>
                <c:pt idx="159">
                  <c:v>5.34</c:v>
                </c:pt>
                <c:pt idx="160">
                  <c:v>2.04</c:v>
                </c:pt>
                <c:pt idx="161">
                  <c:v>2.23</c:v>
                </c:pt>
                <c:pt idx="162">
                  <c:v>8.5399999999999991</c:v>
                </c:pt>
                <c:pt idx="163">
                  <c:v>6.25</c:v>
                </c:pt>
                <c:pt idx="164">
                  <c:v>8.09</c:v>
                </c:pt>
                <c:pt idx="165">
                  <c:v>7.84</c:v>
                </c:pt>
                <c:pt idx="166">
                  <c:v>8.1</c:v>
                </c:pt>
                <c:pt idx="167">
                  <c:v>6.97</c:v>
                </c:pt>
                <c:pt idx="168">
                  <c:v>3.93</c:v>
                </c:pt>
                <c:pt idx="169">
                  <c:v>3.42</c:v>
                </c:pt>
                <c:pt idx="170">
                  <c:v>3.02</c:v>
                </c:pt>
                <c:pt idx="171">
                  <c:v>9.98</c:v>
                </c:pt>
                <c:pt idx="172">
                  <c:v>3.74</c:v>
                </c:pt>
                <c:pt idx="173">
                  <c:v>5.14</c:v>
                </c:pt>
                <c:pt idx="174">
                  <c:v>5.72</c:v>
                </c:pt>
                <c:pt idx="175">
                  <c:v>2.97</c:v>
                </c:pt>
                <c:pt idx="176">
                  <c:v>3.99</c:v>
                </c:pt>
                <c:pt idx="177">
                  <c:v>5.15</c:v>
                </c:pt>
                <c:pt idx="178">
                  <c:v>4.95</c:v>
                </c:pt>
                <c:pt idx="179">
                  <c:v>3.32</c:v>
                </c:pt>
                <c:pt idx="180">
                  <c:v>8.65</c:v>
                </c:pt>
                <c:pt idx="181">
                  <c:v>4.79</c:v>
                </c:pt>
                <c:pt idx="182">
                  <c:v>5.79</c:v>
                </c:pt>
                <c:pt idx="183">
                  <c:v>7.27</c:v>
                </c:pt>
                <c:pt idx="184">
                  <c:v>9.39</c:v>
                </c:pt>
                <c:pt idx="185">
                  <c:v>9.65</c:v>
                </c:pt>
                <c:pt idx="186">
                  <c:v>4.1399999999999997</c:v>
                </c:pt>
                <c:pt idx="187">
                  <c:v>3.57</c:v>
                </c:pt>
                <c:pt idx="188">
                  <c:v>8.5399999999999991</c:v>
                </c:pt>
                <c:pt idx="189">
                  <c:v>6.19</c:v>
                </c:pt>
                <c:pt idx="190">
                  <c:v>6.04</c:v>
                </c:pt>
                <c:pt idx="191">
                  <c:v>5.0199999999999996</c:v>
                </c:pt>
                <c:pt idx="192">
                  <c:v>5.81</c:v>
                </c:pt>
                <c:pt idx="193">
                  <c:v>9.59</c:v>
                </c:pt>
                <c:pt idx="194">
                  <c:v>7.51</c:v>
                </c:pt>
                <c:pt idx="195">
                  <c:v>4.5999999999999996</c:v>
                </c:pt>
                <c:pt idx="196">
                  <c:v>5.0999999999999996</c:v>
                </c:pt>
                <c:pt idx="197">
                  <c:v>8.19</c:v>
                </c:pt>
                <c:pt idx="198">
                  <c:v>2.4300000000000002</c:v>
                </c:pt>
                <c:pt idx="199">
                  <c:v>8.06</c:v>
                </c:pt>
                <c:pt idx="200">
                  <c:v>8.23</c:v>
                </c:pt>
                <c:pt idx="201">
                  <c:v>4.24</c:v>
                </c:pt>
                <c:pt idx="202">
                  <c:v>8.73</c:v>
                </c:pt>
                <c:pt idx="203">
                  <c:v>2.06</c:v>
                </c:pt>
                <c:pt idx="204">
                  <c:v>4.6100000000000003</c:v>
                </c:pt>
                <c:pt idx="205">
                  <c:v>2.56</c:v>
                </c:pt>
                <c:pt idx="206">
                  <c:v>2.0099999999999998</c:v>
                </c:pt>
                <c:pt idx="207">
                  <c:v>8.6999999999999993</c:v>
                </c:pt>
                <c:pt idx="208">
                  <c:v>8.64</c:v>
                </c:pt>
                <c:pt idx="209">
                  <c:v>2.19</c:v>
                </c:pt>
                <c:pt idx="210">
                  <c:v>3.82</c:v>
                </c:pt>
                <c:pt idx="211">
                  <c:v>8.73</c:v>
                </c:pt>
                <c:pt idx="212">
                  <c:v>4.3899999999999997</c:v>
                </c:pt>
                <c:pt idx="213">
                  <c:v>6.87</c:v>
                </c:pt>
                <c:pt idx="214">
                  <c:v>5.49</c:v>
                </c:pt>
                <c:pt idx="215">
                  <c:v>3.09</c:v>
                </c:pt>
                <c:pt idx="216">
                  <c:v>7.59</c:v>
                </c:pt>
                <c:pt idx="217">
                  <c:v>7.36</c:v>
                </c:pt>
                <c:pt idx="218">
                  <c:v>3.94</c:v>
                </c:pt>
                <c:pt idx="219">
                  <c:v>4.3499999999999996</c:v>
                </c:pt>
                <c:pt idx="220">
                  <c:v>4.3499999999999996</c:v>
                </c:pt>
                <c:pt idx="221">
                  <c:v>2.29</c:v>
                </c:pt>
                <c:pt idx="222">
                  <c:v>9.7100000000000009</c:v>
                </c:pt>
                <c:pt idx="223">
                  <c:v>9.9499999999999993</c:v>
                </c:pt>
                <c:pt idx="224">
                  <c:v>5.61</c:v>
                </c:pt>
                <c:pt idx="225">
                  <c:v>6.58</c:v>
                </c:pt>
                <c:pt idx="226">
                  <c:v>5.62</c:v>
                </c:pt>
                <c:pt idx="227">
                  <c:v>8.91</c:v>
                </c:pt>
                <c:pt idx="228">
                  <c:v>4.57</c:v>
                </c:pt>
                <c:pt idx="229">
                  <c:v>3.84</c:v>
                </c:pt>
                <c:pt idx="230">
                  <c:v>8.85</c:v>
                </c:pt>
                <c:pt idx="231">
                  <c:v>5.92</c:v>
                </c:pt>
                <c:pt idx="232">
                  <c:v>5.47</c:v>
                </c:pt>
                <c:pt idx="233">
                  <c:v>9.48</c:v>
                </c:pt>
                <c:pt idx="234">
                  <c:v>4.76</c:v>
                </c:pt>
                <c:pt idx="235">
                  <c:v>9.83</c:v>
                </c:pt>
                <c:pt idx="236">
                  <c:v>5.8</c:v>
                </c:pt>
                <c:pt idx="237">
                  <c:v>6.62</c:v>
                </c:pt>
                <c:pt idx="238">
                  <c:v>7.84</c:v>
                </c:pt>
                <c:pt idx="239">
                  <c:v>7.62</c:v>
                </c:pt>
                <c:pt idx="240">
                  <c:v>4</c:v>
                </c:pt>
                <c:pt idx="241">
                  <c:v>9.93</c:v>
                </c:pt>
                <c:pt idx="242">
                  <c:v>4.49</c:v>
                </c:pt>
                <c:pt idx="243">
                  <c:v>8.73</c:v>
                </c:pt>
                <c:pt idx="244">
                  <c:v>7.4</c:v>
                </c:pt>
                <c:pt idx="245">
                  <c:v>8.89</c:v>
                </c:pt>
                <c:pt idx="246">
                  <c:v>8.26</c:v>
                </c:pt>
              </c:numCache>
            </c:numRef>
          </c:xVal>
          <c:yVal>
            <c:numRef>
              <c:f>'06_Marketing_Effectiveness'!$B$2:$B$248</c:f>
              <c:numCache>
                <c:formatCode>General</c:formatCode>
                <c:ptCount val="247"/>
                <c:pt idx="0">
                  <c:v>11.06</c:v>
                </c:pt>
                <c:pt idx="1">
                  <c:v>9.64</c:v>
                </c:pt>
                <c:pt idx="2">
                  <c:v>21.3</c:v>
                </c:pt>
                <c:pt idx="3">
                  <c:v>10.06</c:v>
                </c:pt>
                <c:pt idx="4">
                  <c:v>16.940000000000001</c:v>
                </c:pt>
                <c:pt idx="5">
                  <c:v>31.74</c:v>
                </c:pt>
                <c:pt idx="6">
                  <c:v>37.090000000000003</c:v>
                </c:pt>
                <c:pt idx="7">
                  <c:v>15.09</c:v>
                </c:pt>
                <c:pt idx="8">
                  <c:v>39.130000000000003</c:v>
                </c:pt>
                <c:pt idx="9">
                  <c:v>14.76</c:v>
                </c:pt>
                <c:pt idx="10">
                  <c:v>16.239999999999998</c:v>
                </c:pt>
                <c:pt idx="11">
                  <c:v>19.13</c:v>
                </c:pt>
                <c:pt idx="12">
                  <c:v>12.65</c:v>
                </c:pt>
                <c:pt idx="13">
                  <c:v>21.85</c:v>
                </c:pt>
                <c:pt idx="14">
                  <c:v>22.87</c:v>
                </c:pt>
                <c:pt idx="15">
                  <c:v>37.340000000000003</c:v>
                </c:pt>
                <c:pt idx="16">
                  <c:v>26.28</c:v>
                </c:pt>
                <c:pt idx="17">
                  <c:v>21.01</c:v>
                </c:pt>
                <c:pt idx="18">
                  <c:v>38.840000000000003</c:v>
                </c:pt>
                <c:pt idx="19">
                  <c:v>16.84</c:v>
                </c:pt>
                <c:pt idx="20">
                  <c:v>9.98</c:v>
                </c:pt>
                <c:pt idx="21">
                  <c:v>9.51</c:v>
                </c:pt>
                <c:pt idx="22">
                  <c:v>14.96</c:v>
                </c:pt>
                <c:pt idx="23">
                  <c:v>38.770000000000003</c:v>
                </c:pt>
                <c:pt idx="24">
                  <c:v>11.24</c:v>
                </c:pt>
                <c:pt idx="25">
                  <c:v>16.86</c:v>
                </c:pt>
                <c:pt idx="26">
                  <c:v>22.95</c:v>
                </c:pt>
                <c:pt idx="27">
                  <c:v>15.72</c:v>
                </c:pt>
                <c:pt idx="28">
                  <c:v>22.18</c:v>
                </c:pt>
                <c:pt idx="29">
                  <c:v>12.1</c:v>
                </c:pt>
                <c:pt idx="30">
                  <c:v>33.93</c:v>
                </c:pt>
                <c:pt idx="31">
                  <c:v>11.45</c:v>
                </c:pt>
                <c:pt idx="32">
                  <c:v>32.08</c:v>
                </c:pt>
                <c:pt idx="33">
                  <c:v>13.75</c:v>
                </c:pt>
                <c:pt idx="34">
                  <c:v>9.15</c:v>
                </c:pt>
                <c:pt idx="35">
                  <c:v>33</c:v>
                </c:pt>
                <c:pt idx="36">
                  <c:v>13.41</c:v>
                </c:pt>
                <c:pt idx="37">
                  <c:v>21.39</c:v>
                </c:pt>
                <c:pt idx="38">
                  <c:v>16.36</c:v>
                </c:pt>
                <c:pt idx="39">
                  <c:v>25.73</c:v>
                </c:pt>
                <c:pt idx="40">
                  <c:v>22.26</c:v>
                </c:pt>
                <c:pt idx="41">
                  <c:v>15.7</c:v>
                </c:pt>
                <c:pt idx="42">
                  <c:v>24.7</c:v>
                </c:pt>
                <c:pt idx="43">
                  <c:v>16.600000000000001</c:v>
                </c:pt>
                <c:pt idx="44">
                  <c:v>14.99</c:v>
                </c:pt>
                <c:pt idx="45">
                  <c:v>11.46</c:v>
                </c:pt>
                <c:pt idx="46">
                  <c:v>8.4</c:v>
                </c:pt>
                <c:pt idx="47">
                  <c:v>17.649999999999999</c:v>
                </c:pt>
                <c:pt idx="48">
                  <c:v>12.27</c:v>
                </c:pt>
                <c:pt idx="49">
                  <c:v>14.26</c:v>
                </c:pt>
                <c:pt idx="50">
                  <c:v>13.72</c:v>
                </c:pt>
                <c:pt idx="51">
                  <c:v>20.58</c:v>
                </c:pt>
                <c:pt idx="52">
                  <c:v>29.84</c:v>
                </c:pt>
                <c:pt idx="53">
                  <c:v>21.74</c:v>
                </c:pt>
                <c:pt idx="54">
                  <c:v>36.42</c:v>
                </c:pt>
                <c:pt idx="55">
                  <c:v>34.770000000000003</c:v>
                </c:pt>
                <c:pt idx="56">
                  <c:v>38.15</c:v>
                </c:pt>
                <c:pt idx="57">
                  <c:v>22.69</c:v>
                </c:pt>
                <c:pt idx="58">
                  <c:v>23.1</c:v>
                </c:pt>
                <c:pt idx="59">
                  <c:v>24.36</c:v>
                </c:pt>
                <c:pt idx="60">
                  <c:v>17.39</c:v>
                </c:pt>
                <c:pt idx="61">
                  <c:v>15.8</c:v>
                </c:pt>
                <c:pt idx="62">
                  <c:v>14.26</c:v>
                </c:pt>
                <c:pt idx="63">
                  <c:v>22.2</c:v>
                </c:pt>
                <c:pt idx="64">
                  <c:v>9.61</c:v>
                </c:pt>
                <c:pt idx="65">
                  <c:v>23.99</c:v>
                </c:pt>
                <c:pt idx="66">
                  <c:v>20.87</c:v>
                </c:pt>
                <c:pt idx="67">
                  <c:v>21.01</c:v>
                </c:pt>
                <c:pt idx="68">
                  <c:v>19.5</c:v>
                </c:pt>
                <c:pt idx="69">
                  <c:v>20.059999999999999</c:v>
                </c:pt>
                <c:pt idx="70">
                  <c:v>24.22</c:v>
                </c:pt>
                <c:pt idx="71">
                  <c:v>10.19</c:v>
                </c:pt>
                <c:pt idx="72">
                  <c:v>16.43</c:v>
                </c:pt>
                <c:pt idx="73">
                  <c:v>23.87</c:v>
                </c:pt>
                <c:pt idx="74">
                  <c:v>19.149999999999999</c:v>
                </c:pt>
                <c:pt idx="75">
                  <c:v>35.43</c:v>
                </c:pt>
                <c:pt idx="76">
                  <c:v>9.2100000000000009</c:v>
                </c:pt>
                <c:pt idx="77">
                  <c:v>24.34</c:v>
                </c:pt>
                <c:pt idx="78">
                  <c:v>15.55</c:v>
                </c:pt>
                <c:pt idx="79">
                  <c:v>19.07</c:v>
                </c:pt>
                <c:pt idx="80">
                  <c:v>22.42</c:v>
                </c:pt>
                <c:pt idx="81">
                  <c:v>24.83</c:v>
                </c:pt>
                <c:pt idx="82">
                  <c:v>27.93</c:v>
                </c:pt>
                <c:pt idx="83">
                  <c:v>12.99</c:v>
                </c:pt>
                <c:pt idx="84">
                  <c:v>14.33</c:v>
                </c:pt>
                <c:pt idx="85">
                  <c:v>20.6</c:v>
                </c:pt>
                <c:pt idx="86">
                  <c:v>19.98</c:v>
                </c:pt>
                <c:pt idx="87">
                  <c:v>23.96</c:v>
                </c:pt>
                <c:pt idx="88">
                  <c:v>22.36</c:v>
                </c:pt>
                <c:pt idx="89">
                  <c:v>31.41</c:v>
                </c:pt>
                <c:pt idx="90">
                  <c:v>20.66</c:v>
                </c:pt>
                <c:pt idx="91">
                  <c:v>16.86</c:v>
                </c:pt>
                <c:pt idx="92">
                  <c:v>24.02</c:v>
                </c:pt>
                <c:pt idx="93">
                  <c:v>21.5</c:v>
                </c:pt>
                <c:pt idx="94">
                  <c:v>12.52</c:v>
                </c:pt>
                <c:pt idx="95">
                  <c:v>14.25</c:v>
                </c:pt>
                <c:pt idx="96">
                  <c:v>15.9</c:v>
                </c:pt>
                <c:pt idx="97">
                  <c:v>27.42</c:v>
                </c:pt>
                <c:pt idx="98">
                  <c:v>20.7</c:v>
                </c:pt>
                <c:pt idx="99">
                  <c:v>19.920000000000002</c:v>
                </c:pt>
                <c:pt idx="100">
                  <c:v>14.98</c:v>
                </c:pt>
                <c:pt idx="101">
                  <c:v>12.39</c:v>
                </c:pt>
                <c:pt idx="102">
                  <c:v>23.18</c:v>
                </c:pt>
                <c:pt idx="103">
                  <c:v>18.239999999999998</c:v>
                </c:pt>
                <c:pt idx="104">
                  <c:v>24.83</c:v>
                </c:pt>
                <c:pt idx="105">
                  <c:v>33.79</c:v>
                </c:pt>
                <c:pt idx="106">
                  <c:v>8.2899999999999991</c:v>
                </c:pt>
                <c:pt idx="107">
                  <c:v>38.549999999999997</c:v>
                </c:pt>
                <c:pt idx="108">
                  <c:v>20.13</c:v>
                </c:pt>
                <c:pt idx="109">
                  <c:v>20.28</c:v>
                </c:pt>
                <c:pt idx="110">
                  <c:v>10.92</c:v>
                </c:pt>
                <c:pt idx="111">
                  <c:v>10.14</c:v>
                </c:pt>
                <c:pt idx="112">
                  <c:v>10.08</c:v>
                </c:pt>
                <c:pt idx="113">
                  <c:v>19.46</c:v>
                </c:pt>
                <c:pt idx="114">
                  <c:v>27.79</c:v>
                </c:pt>
                <c:pt idx="115">
                  <c:v>15.78</c:v>
                </c:pt>
                <c:pt idx="116">
                  <c:v>15.68</c:v>
                </c:pt>
                <c:pt idx="117">
                  <c:v>23.02</c:v>
                </c:pt>
                <c:pt idx="118">
                  <c:v>17.59</c:v>
                </c:pt>
                <c:pt idx="119">
                  <c:v>22.59</c:v>
                </c:pt>
                <c:pt idx="120">
                  <c:v>10.6</c:v>
                </c:pt>
                <c:pt idx="121">
                  <c:v>23.11</c:v>
                </c:pt>
                <c:pt idx="122">
                  <c:v>23.89</c:v>
                </c:pt>
                <c:pt idx="123">
                  <c:v>29.9</c:v>
                </c:pt>
                <c:pt idx="124">
                  <c:v>13.61</c:v>
                </c:pt>
                <c:pt idx="125">
                  <c:v>20.67</c:v>
                </c:pt>
                <c:pt idx="126">
                  <c:v>13.9</c:v>
                </c:pt>
                <c:pt idx="127">
                  <c:v>12.58</c:v>
                </c:pt>
                <c:pt idx="128">
                  <c:v>24.71</c:v>
                </c:pt>
                <c:pt idx="129">
                  <c:v>21.18</c:v>
                </c:pt>
                <c:pt idx="130">
                  <c:v>12.31</c:v>
                </c:pt>
                <c:pt idx="131">
                  <c:v>20.29</c:v>
                </c:pt>
                <c:pt idx="132">
                  <c:v>26.29</c:v>
                </c:pt>
                <c:pt idx="133">
                  <c:v>18.71</c:v>
                </c:pt>
                <c:pt idx="134">
                  <c:v>15.24</c:v>
                </c:pt>
                <c:pt idx="135">
                  <c:v>12.17</c:v>
                </c:pt>
                <c:pt idx="136">
                  <c:v>17.03</c:v>
                </c:pt>
                <c:pt idx="137">
                  <c:v>21.79</c:v>
                </c:pt>
                <c:pt idx="138">
                  <c:v>25.67</c:v>
                </c:pt>
                <c:pt idx="139">
                  <c:v>9.81</c:v>
                </c:pt>
                <c:pt idx="140">
                  <c:v>15.07</c:v>
                </c:pt>
                <c:pt idx="141">
                  <c:v>11.58</c:v>
                </c:pt>
                <c:pt idx="142">
                  <c:v>33.14</c:v>
                </c:pt>
                <c:pt idx="143">
                  <c:v>12.23</c:v>
                </c:pt>
                <c:pt idx="144">
                  <c:v>18.8</c:v>
                </c:pt>
                <c:pt idx="145">
                  <c:v>22.42</c:v>
                </c:pt>
                <c:pt idx="146">
                  <c:v>22.78</c:v>
                </c:pt>
                <c:pt idx="147">
                  <c:v>15.36</c:v>
                </c:pt>
                <c:pt idx="148">
                  <c:v>30.64</c:v>
                </c:pt>
                <c:pt idx="149">
                  <c:v>15.6</c:v>
                </c:pt>
                <c:pt idx="150">
                  <c:v>34.9</c:v>
                </c:pt>
                <c:pt idx="151">
                  <c:v>27.72</c:v>
                </c:pt>
                <c:pt idx="152">
                  <c:v>19.59</c:v>
                </c:pt>
                <c:pt idx="153">
                  <c:v>10.86</c:v>
                </c:pt>
                <c:pt idx="154">
                  <c:v>13.59</c:v>
                </c:pt>
                <c:pt idx="155">
                  <c:v>38.99</c:v>
                </c:pt>
                <c:pt idx="156">
                  <c:v>18.05</c:v>
                </c:pt>
                <c:pt idx="157">
                  <c:v>32.799999999999997</c:v>
                </c:pt>
                <c:pt idx="158">
                  <c:v>30.75</c:v>
                </c:pt>
                <c:pt idx="159">
                  <c:v>30.04</c:v>
                </c:pt>
                <c:pt idx="160">
                  <c:v>24.36</c:v>
                </c:pt>
                <c:pt idx="161">
                  <c:v>13.98</c:v>
                </c:pt>
                <c:pt idx="162">
                  <c:v>19.670000000000002</c:v>
                </c:pt>
                <c:pt idx="163">
                  <c:v>36.590000000000003</c:v>
                </c:pt>
                <c:pt idx="164">
                  <c:v>8.99</c:v>
                </c:pt>
                <c:pt idx="165">
                  <c:v>16.54</c:v>
                </c:pt>
                <c:pt idx="166">
                  <c:v>16.149999999999999</c:v>
                </c:pt>
                <c:pt idx="167">
                  <c:v>20.46</c:v>
                </c:pt>
                <c:pt idx="168">
                  <c:v>17.850000000000001</c:v>
                </c:pt>
                <c:pt idx="169">
                  <c:v>13.14</c:v>
                </c:pt>
                <c:pt idx="170">
                  <c:v>14.7</c:v>
                </c:pt>
                <c:pt idx="171">
                  <c:v>18.28</c:v>
                </c:pt>
                <c:pt idx="172">
                  <c:v>29.29</c:v>
                </c:pt>
                <c:pt idx="173">
                  <c:v>11.71</c:v>
                </c:pt>
                <c:pt idx="174">
                  <c:v>9.39</c:v>
                </c:pt>
                <c:pt idx="175">
                  <c:v>22.23</c:v>
                </c:pt>
                <c:pt idx="176">
                  <c:v>9.4700000000000006</c:v>
                </c:pt>
                <c:pt idx="177">
                  <c:v>22.91</c:v>
                </c:pt>
                <c:pt idx="178">
                  <c:v>38.200000000000003</c:v>
                </c:pt>
                <c:pt idx="179">
                  <c:v>26.27</c:v>
                </c:pt>
                <c:pt idx="180">
                  <c:v>18.940000000000001</c:v>
                </c:pt>
                <c:pt idx="181">
                  <c:v>10.210000000000001</c:v>
                </c:pt>
                <c:pt idx="182">
                  <c:v>28.13</c:v>
                </c:pt>
                <c:pt idx="183">
                  <c:v>16.96</c:v>
                </c:pt>
                <c:pt idx="184">
                  <c:v>27.21</c:v>
                </c:pt>
                <c:pt idx="185">
                  <c:v>18.72</c:v>
                </c:pt>
                <c:pt idx="186">
                  <c:v>8.0299999999999994</c:v>
                </c:pt>
                <c:pt idx="187">
                  <c:v>26.7</c:v>
                </c:pt>
                <c:pt idx="188">
                  <c:v>8.74</c:v>
                </c:pt>
                <c:pt idx="189">
                  <c:v>9.58</c:v>
                </c:pt>
                <c:pt idx="190">
                  <c:v>23.3</c:v>
                </c:pt>
                <c:pt idx="191">
                  <c:v>38.450000000000003</c:v>
                </c:pt>
                <c:pt idx="192">
                  <c:v>10.33</c:v>
                </c:pt>
                <c:pt idx="193">
                  <c:v>29.84</c:v>
                </c:pt>
                <c:pt idx="194">
                  <c:v>9.7100000000000009</c:v>
                </c:pt>
                <c:pt idx="195">
                  <c:v>18.3</c:v>
                </c:pt>
                <c:pt idx="196">
                  <c:v>9.7100000000000009</c:v>
                </c:pt>
                <c:pt idx="197">
                  <c:v>17.48</c:v>
                </c:pt>
                <c:pt idx="198">
                  <c:v>36.99</c:v>
                </c:pt>
                <c:pt idx="199">
                  <c:v>9.7799999999999994</c:v>
                </c:pt>
                <c:pt idx="200">
                  <c:v>21.21</c:v>
                </c:pt>
                <c:pt idx="201">
                  <c:v>16.329999999999998</c:v>
                </c:pt>
                <c:pt idx="202">
                  <c:v>18.440000000000001</c:v>
                </c:pt>
                <c:pt idx="203">
                  <c:v>17.21</c:v>
                </c:pt>
                <c:pt idx="204">
                  <c:v>14.18</c:v>
                </c:pt>
                <c:pt idx="205">
                  <c:v>8.5500000000000007</c:v>
                </c:pt>
                <c:pt idx="206">
                  <c:v>13.86</c:v>
                </c:pt>
                <c:pt idx="207">
                  <c:v>12.26</c:v>
                </c:pt>
                <c:pt idx="208">
                  <c:v>13.24</c:v>
                </c:pt>
                <c:pt idx="209">
                  <c:v>19.11</c:v>
                </c:pt>
                <c:pt idx="210">
                  <c:v>20.03</c:v>
                </c:pt>
                <c:pt idx="211">
                  <c:v>19.88</c:v>
                </c:pt>
                <c:pt idx="212">
                  <c:v>24.85</c:v>
                </c:pt>
                <c:pt idx="213">
                  <c:v>11.05</c:v>
                </c:pt>
                <c:pt idx="214">
                  <c:v>23.13</c:v>
                </c:pt>
                <c:pt idx="215">
                  <c:v>31.05</c:v>
                </c:pt>
                <c:pt idx="216">
                  <c:v>19.29</c:v>
                </c:pt>
                <c:pt idx="217">
                  <c:v>31.95</c:v>
                </c:pt>
                <c:pt idx="218">
                  <c:v>38.39</c:v>
                </c:pt>
                <c:pt idx="219">
                  <c:v>23.38</c:v>
                </c:pt>
                <c:pt idx="220">
                  <c:v>23.98</c:v>
                </c:pt>
                <c:pt idx="221">
                  <c:v>18.18</c:v>
                </c:pt>
                <c:pt idx="222">
                  <c:v>14.29</c:v>
                </c:pt>
                <c:pt idx="223">
                  <c:v>39.450000000000003</c:v>
                </c:pt>
                <c:pt idx="224">
                  <c:v>9.83</c:v>
                </c:pt>
                <c:pt idx="225">
                  <c:v>18.84</c:v>
                </c:pt>
                <c:pt idx="226">
                  <c:v>20.63</c:v>
                </c:pt>
                <c:pt idx="227">
                  <c:v>15.73</c:v>
                </c:pt>
                <c:pt idx="228">
                  <c:v>11.23</c:v>
                </c:pt>
                <c:pt idx="229">
                  <c:v>13.2</c:v>
                </c:pt>
                <c:pt idx="230">
                  <c:v>19.03</c:v>
                </c:pt>
                <c:pt idx="231">
                  <c:v>20.86</c:v>
                </c:pt>
                <c:pt idx="232">
                  <c:v>23.34</c:v>
                </c:pt>
                <c:pt idx="233">
                  <c:v>11.54</c:v>
                </c:pt>
                <c:pt idx="234">
                  <c:v>19.96</c:v>
                </c:pt>
                <c:pt idx="235">
                  <c:v>21</c:v>
                </c:pt>
                <c:pt idx="236">
                  <c:v>30.01</c:v>
                </c:pt>
                <c:pt idx="237">
                  <c:v>11.78</c:v>
                </c:pt>
                <c:pt idx="238">
                  <c:v>13.54</c:v>
                </c:pt>
                <c:pt idx="239">
                  <c:v>14.23</c:v>
                </c:pt>
                <c:pt idx="240">
                  <c:v>12.36</c:v>
                </c:pt>
                <c:pt idx="241">
                  <c:v>9.6999999999999993</c:v>
                </c:pt>
                <c:pt idx="242">
                  <c:v>18.53</c:v>
                </c:pt>
                <c:pt idx="243">
                  <c:v>27.74</c:v>
                </c:pt>
                <c:pt idx="244">
                  <c:v>35.43</c:v>
                </c:pt>
                <c:pt idx="245">
                  <c:v>23.1</c:v>
                </c:pt>
                <c:pt idx="246">
                  <c:v>12.54</c:v>
                </c:pt>
              </c:numCache>
            </c:numRef>
          </c:yVal>
          <c:smooth val="0"/>
          <c:extLst>
            <c:ext xmlns:c16="http://schemas.microsoft.com/office/drawing/2014/chart" uri="{C3380CC4-5D6E-409C-BE32-E72D297353CC}">
              <c16:uniqueId val="{00000000-93A9-5943-945F-9895FE002B78}"/>
            </c:ext>
          </c:extLst>
        </c:ser>
        <c:dLbls>
          <c:showLegendKey val="0"/>
          <c:showVal val="0"/>
          <c:showCatName val="0"/>
          <c:showSerName val="0"/>
          <c:showPercent val="0"/>
          <c:showBubbleSize val="0"/>
        </c:dLbls>
        <c:axId val="164291775"/>
        <c:axId val="164285055"/>
      </c:scatterChart>
      <c:valAx>
        <c:axId val="164291775"/>
        <c:scaling>
          <c:orientation val="minMax"/>
          <c:max val="11"/>
          <c:min val="1"/>
        </c:scaling>
        <c:delete val="0"/>
        <c:axPos val="b"/>
        <c:majorGridlines>
          <c:spPr>
            <a:ln w="9525" cap="flat" cmpd="sng" algn="ctr">
              <a:solidFill>
                <a:schemeClr val="dk1">
                  <a:lumMod val="15000"/>
                  <a:lumOff val="85000"/>
                </a:schemeClr>
              </a:solidFill>
              <a:round/>
            </a:ln>
            <a:effectLst/>
          </c:spPr>
        </c:majorGridlines>
        <c:title>
          <c:tx>
            <c:rich>
              <a:bodyPr rot="0" spcFirstLastPara="1" vertOverflow="ellipsis" vert="horz" wrap="square" anchor="ctr" anchorCtr="1"/>
              <a:lstStyle/>
              <a:p>
                <a:pPr>
                  <a:defRPr sz="2000" b="1" i="0" u="none" strike="noStrike" kern="1200" baseline="0">
                    <a:solidFill>
                      <a:schemeClr val="dk1">
                        <a:lumMod val="50000"/>
                        <a:lumOff val="50000"/>
                      </a:schemeClr>
                    </a:solidFill>
                    <a:latin typeface="+mn-lt"/>
                    <a:ea typeface="+mn-ea"/>
                    <a:cs typeface="+mn-cs"/>
                  </a:defRPr>
                </a:pPr>
                <a:r>
                  <a:rPr lang="it-IT" sz="2000"/>
                  <a:t>Contact_Cost (€)</a:t>
                </a:r>
              </a:p>
            </c:rich>
          </c:tx>
          <c:overlay val="0"/>
          <c:spPr>
            <a:noFill/>
            <a:ln>
              <a:noFill/>
            </a:ln>
            <a:effectLst/>
          </c:spPr>
          <c:txPr>
            <a:bodyPr rot="0" spcFirstLastPara="1" vertOverflow="ellipsis" vert="horz" wrap="square" anchor="ctr" anchorCtr="1"/>
            <a:lstStyle/>
            <a:p>
              <a:pPr>
                <a:defRPr sz="2000" b="1" i="0" u="none" strike="noStrike" kern="1200" baseline="0">
                  <a:solidFill>
                    <a:schemeClr val="dk1">
                      <a:lumMod val="50000"/>
                      <a:lumOff val="50000"/>
                    </a:schemeClr>
                  </a:solidFill>
                  <a:latin typeface="+mn-lt"/>
                  <a:ea typeface="+mn-ea"/>
                  <a:cs typeface="+mn-cs"/>
                </a:defRPr>
              </a:pPr>
              <a:endParaRPr lang="it-IT"/>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500" b="1" i="0" u="none" strike="noStrike" kern="1200" baseline="0">
                <a:solidFill>
                  <a:schemeClr val="dk1">
                    <a:lumMod val="50000"/>
                    <a:lumOff val="50000"/>
                  </a:schemeClr>
                </a:solidFill>
                <a:latin typeface="Calibri" panose="020F0502020204030204" pitchFamily="34" charset="0"/>
                <a:ea typeface="+mn-ea"/>
                <a:cs typeface="Calibri" panose="020F0502020204030204" pitchFamily="34" charset="0"/>
              </a:defRPr>
            </a:pPr>
            <a:endParaRPr lang="it-IT"/>
          </a:p>
        </c:txPr>
        <c:crossAx val="164285055"/>
        <c:crosses val="autoZero"/>
        <c:crossBetween val="midCat"/>
      </c:valAx>
      <c:valAx>
        <c:axId val="164285055"/>
        <c:scaling>
          <c:orientation val="minMax"/>
          <c:max val="40"/>
          <c:min val="5"/>
        </c:scaling>
        <c:delete val="0"/>
        <c:axPos val="l"/>
        <c:majorGridlines>
          <c:spPr>
            <a:ln w="9525" cap="flat" cmpd="sng" algn="ctr">
              <a:solidFill>
                <a:schemeClr val="dk1">
                  <a:lumMod val="15000"/>
                  <a:lumOff val="85000"/>
                </a:schemeClr>
              </a:solidFill>
              <a:round/>
            </a:ln>
            <a:effectLst/>
          </c:spPr>
        </c:majorGridlines>
        <c:title>
          <c:tx>
            <c:rich>
              <a:bodyPr rot="-5400000" spcFirstLastPara="1" vertOverflow="ellipsis" vert="horz" wrap="square" anchor="ctr" anchorCtr="1"/>
              <a:lstStyle/>
              <a:p>
                <a:pPr>
                  <a:defRPr sz="2000" b="1" i="0" u="none" strike="noStrike" kern="1200" baseline="0">
                    <a:solidFill>
                      <a:schemeClr val="dk1">
                        <a:lumMod val="50000"/>
                        <a:lumOff val="50000"/>
                      </a:schemeClr>
                    </a:solidFill>
                    <a:latin typeface="+mn-lt"/>
                    <a:ea typeface="+mn-ea"/>
                    <a:cs typeface="+mn-cs"/>
                  </a:defRPr>
                </a:pPr>
                <a:r>
                  <a:rPr lang="it-IT" sz="2000" b="1"/>
                  <a:t>Total Spent (€)</a:t>
                </a:r>
              </a:p>
            </c:rich>
          </c:tx>
          <c:overlay val="0"/>
          <c:spPr>
            <a:noFill/>
            <a:ln>
              <a:noFill/>
            </a:ln>
            <a:effectLst/>
          </c:spPr>
          <c:txPr>
            <a:bodyPr rot="-5400000" spcFirstLastPara="1" vertOverflow="ellipsis" vert="horz" wrap="square" anchor="ctr" anchorCtr="1"/>
            <a:lstStyle/>
            <a:p>
              <a:pPr>
                <a:defRPr sz="2000" b="1" i="0" u="none" strike="noStrike" kern="1200" baseline="0">
                  <a:solidFill>
                    <a:schemeClr val="dk1">
                      <a:lumMod val="50000"/>
                      <a:lumOff val="50000"/>
                    </a:schemeClr>
                  </a:solidFill>
                  <a:latin typeface="+mn-lt"/>
                  <a:ea typeface="+mn-ea"/>
                  <a:cs typeface="+mn-cs"/>
                </a:defRPr>
              </a:pPr>
              <a:endParaRPr lang="it-IT"/>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500" b="1" i="0" u="none" strike="noStrike" kern="1200" baseline="0">
                <a:solidFill>
                  <a:schemeClr val="dk1">
                    <a:lumMod val="50000"/>
                    <a:lumOff val="50000"/>
                  </a:schemeClr>
                </a:solidFill>
                <a:latin typeface="+mn-lt"/>
                <a:ea typeface="+mn-ea"/>
                <a:cs typeface="+mn-cs"/>
              </a:defRPr>
            </a:pPr>
            <a:endParaRPr lang="it-IT"/>
          </a:p>
        </c:txPr>
        <c:crossAx val="164291775"/>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100000">
          <a:schemeClr val="lt1">
            <a:lumMod val="95000"/>
          </a:schemeClr>
        </a:gs>
        <a:gs pos="43000">
          <a:schemeClr val="lt1"/>
        </a:gs>
      </a:gsLst>
      <a:path path="circle">
        <a:fillToRect l="50000" t="50000" r="50000" b="50000"/>
      </a:path>
      <a:tileRect/>
    </a:gradFill>
    <a:ln w="9525" cap="flat" cmpd="sng" algn="ctr">
      <a:solidFill>
        <a:schemeClr val="dk1">
          <a:lumMod val="15000"/>
          <a:lumOff val="85000"/>
        </a:schemeClr>
      </a:solidFill>
      <a:round/>
    </a:ln>
    <a:effectLst>
      <a:outerShdw blurRad="50800" dist="38100" dir="2700000" algn="tl" rotWithShape="0">
        <a:prstClr val="black">
          <a:alpha val="40000"/>
        </a:prstClr>
      </a:outerShdw>
    </a:effectLst>
  </c:spPr>
  <c:txPr>
    <a:bodyPr/>
    <a:lstStyle/>
    <a:p>
      <a:pPr>
        <a:defRPr/>
      </a:pPr>
      <a:endParaRPr lang="it-IT"/>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it-IT"/>
  <c:roundedCorners val="0"/>
  <mc:AlternateContent xmlns:mc="http://schemas.openxmlformats.org/markup-compatibility/2006">
    <mc:Choice xmlns:c14="http://schemas.microsoft.com/office/drawing/2007/8/2/chart" Requires="c14">
      <c14:style val="102"/>
    </mc:Choice>
    <mc:Fallback>
      <c:style val="2"/>
    </mc:Fallback>
  </mc:AlternateContent>
  <c:pivotSource>
    <c:name>[SalesAnalysis_and_MarketingStrategy.xlsx.xlsx]07_Spending_Tier_Analysis!Tabella pivot3</c:name>
    <c:fmtId val="0"/>
  </c:pivotSource>
  <c:chart>
    <c:title>
      <c:tx>
        <c:rich>
          <a:bodyPr rot="0" spcFirstLastPara="1" vertOverflow="ellipsis" vert="horz" wrap="square" anchor="ctr" anchorCtr="1"/>
          <a:lstStyle/>
          <a:p>
            <a:pPr>
              <a:defRPr sz="2000" b="1" i="0" u="none" strike="noStrike" kern="1200" baseline="0">
                <a:solidFill>
                  <a:schemeClr val="dk1">
                    <a:lumMod val="75000"/>
                    <a:lumOff val="25000"/>
                  </a:schemeClr>
                </a:solidFill>
                <a:latin typeface="Calibri" panose="020F0502020204030204" pitchFamily="34" charset="0"/>
                <a:ea typeface="+mn-ea"/>
                <a:cs typeface="Calibri" panose="020F0502020204030204" pitchFamily="34" charset="0"/>
              </a:defRPr>
            </a:pPr>
            <a:r>
              <a:rPr lang="it-IT" sz="2000" b="1" i="0" u="none" strike="noStrike" baseline="0">
                <a:latin typeface="Calibri" panose="020F0502020204030204" pitchFamily="34" charset="0"/>
                <a:cs typeface="Calibri" panose="020F0502020204030204" pitchFamily="34" charset="0"/>
              </a:rPr>
              <a:t>Spending Tier vs. Total Revenue and Contact Cost</a:t>
            </a:r>
            <a:endParaRPr lang="it-IT" sz="2000">
              <a:latin typeface="Calibri" panose="020F0502020204030204" pitchFamily="34" charset="0"/>
              <a:cs typeface="Calibri" panose="020F0502020204030204" pitchFamily="34" charset="0"/>
            </a:endParaRPr>
          </a:p>
        </c:rich>
      </c:tx>
      <c:overlay val="0"/>
      <c:spPr>
        <a:noFill/>
        <a:ln>
          <a:noFill/>
        </a:ln>
        <a:effectLst/>
      </c:spPr>
      <c:txPr>
        <a:bodyPr rot="0" spcFirstLastPara="1" vertOverflow="ellipsis" vert="horz" wrap="square" anchor="ctr" anchorCtr="1"/>
        <a:lstStyle/>
        <a:p>
          <a:pPr>
            <a:defRPr sz="2000" b="1" i="0" u="none" strike="noStrike" kern="1200" baseline="0">
              <a:solidFill>
                <a:schemeClr val="dk1">
                  <a:lumMod val="75000"/>
                  <a:lumOff val="25000"/>
                </a:schemeClr>
              </a:solidFill>
              <a:latin typeface="Calibri" panose="020F0502020204030204" pitchFamily="34" charset="0"/>
              <a:ea typeface="+mn-ea"/>
              <a:cs typeface="Calibri" panose="020F0502020204030204" pitchFamily="34" charset="0"/>
            </a:defRPr>
          </a:pPr>
          <a:endParaRPr lang="it-IT"/>
        </a:p>
      </c:txPr>
    </c:title>
    <c:autoTitleDeleted val="0"/>
    <c:pivotFmts>
      <c:pivotFmt>
        <c:idx val="0"/>
        <c:spPr>
          <a:solidFill>
            <a:srgbClr val="E5AD64">
              <a:alpha val="85000"/>
            </a:srgbClr>
          </a:solidFill>
          <a:ln w="9525" cap="flat" cmpd="sng" algn="ctr">
            <a:solidFill>
              <a:schemeClr val="tx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it-IT"/>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alpha val="85000"/>
            </a:schemeClr>
          </a:solidFill>
          <a:ln w="9525" cap="flat" cmpd="sng" algn="ctr">
            <a:solidFill>
              <a:schemeClr val="tx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it-IT"/>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'07_Spending_Tier_Analysis'!$C$3</c:f>
              <c:strCache>
                <c:ptCount val="1"/>
                <c:pt idx="0">
                  <c:v>Contact_Cost_Sum(€)</c:v>
                </c:pt>
              </c:strCache>
            </c:strRef>
          </c:tx>
          <c:spPr>
            <a:solidFill>
              <a:srgbClr val="E5AD64">
                <a:alpha val="85000"/>
              </a:srgbClr>
            </a:solidFill>
            <a:ln w="9525" cap="flat" cmpd="sng" algn="ctr">
              <a:solidFill>
                <a:schemeClr val="tx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it-IT"/>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'07_Spending_Tier_Analysis'!$B$4:$B$7</c:f>
              <c:strCache>
                <c:ptCount val="3"/>
                <c:pt idx="0">
                  <c:v>High Spender</c:v>
                </c:pt>
                <c:pt idx="1">
                  <c:v>Low Spender</c:v>
                </c:pt>
                <c:pt idx="2">
                  <c:v>Medium Spender</c:v>
                </c:pt>
              </c:strCache>
            </c:strRef>
          </c:cat>
          <c:val>
            <c:numRef>
              <c:f>'07_Spending_Tier_Analysis'!$C$4:$C$7</c:f>
              <c:numCache>
                <c:formatCode>General</c:formatCode>
                <c:ptCount val="3"/>
                <c:pt idx="0">
                  <c:v>276.66999999999996</c:v>
                </c:pt>
                <c:pt idx="1">
                  <c:v>1669.1899999999994</c:v>
                </c:pt>
                <c:pt idx="2">
                  <c:v>1096.9499999999996</c:v>
                </c:pt>
              </c:numCache>
            </c:numRef>
          </c:val>
          <c:extLst>
            <c:ext xmlns:c16="http://schemas.microsoft.com/office/drawing/2014/chart" uri="{C3380CC4-5D6E-409C-BE32-E72D297353CC}">
              <c16:uniqueId val="{00000000-E1B3-254E-9D0E-72530B16D96D}"/>
            </c:ext>
          </c:extLst>
        </c:ser>
        <c:ser>
          <c:idx val="1"/>
          <c:order val="1"/>
          <c:tx>
            <c:strRef>
              <c:f>'07_Spending_Tier_Analysis'!$D$3</c:f>
              <c:strCache>
                <c:ptCount val="1"/>
                <c:pt idx="0">
                  <c:v>Total_Spent_Sum (€)</c:v>
                </c:pt>
              </c:strCache>
            </c:strRef>
          </c:tx>
          <c:spPr>
            <a:solidFill>
              <a:schemeClr val="accent2">
                <a:alpha val="85000"/>
              </a:schemeClr>
            </a:solidFill>
            <a:ln w="9525" cap="flat" cmpd="sng" algn="ctr">
              <a:solidFill>
                <a:schemeClr val="tx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it-IT"/>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'07_Spending_Tier_Analysis'!$B$4:$B$7</c:f>
              <c:strCache>
                <c:ptCount val="3"/>
                <c:pt idx="0">
                  <c:v>High Spender</c:v>
                </c:pt>
                <c:pt idx="1">
                  <c:v>Low Spender</c:v>
                </c:pt>
                <c:pt idx="2">
                  <c:v>Medium Spender</c:v>
                </c:pt>
              </c:strCache>
            </c:strRef>
          </c:cat>
          <c:val>
            <c:numRef>
              <c:f>'07_Spending_Tier_Analysis'!$D$4:$D$7</c:f>
              <c:numCache>
                <c:formatCode>General</c:formatCode>
                <c:ptCount val="3"/>
                <c:pt idx="0">
                  <c:v>1627.9599999999998</c:v>
                </c:pt>
                <c:pt idx="1">
                  <c:v>195.08000000000004</c:v>
                </c:pt>
                <c:pt idx="2">
                  <c:v>3112.5200000000023</c:v>
                </c:pt>
              </c:numCache>
            </c:numRef>
          </c:val>
          <c:extLst>
            <c:ext xmlns:c16="http://schemas.microsoft.com/office/drawing/2014/chart" uri="{C3380CC4-5D6E-409C-BE32-E72D297353CC}">
              <c16:uniqueId val="{00000001-E1B3-254E-9D0E-72530B16D96D}"/>
            </c:ext>
          </c:extLst>
        </c:ser>
        <c:dLbls>
          <c:dLblPos val="inEnd"/>
          <c:showLegendKey val="0"/>
          <c:showVal val="1"/>
          <c:showCatName val="0"/>
          <c:showSerName val="0"/>
          <c:showPercent val="0"/>
          <c:showBubbleSize val="0"/>
        </c:dLbls>
        <c:gapWidth val="65"/>
        <c:axId val="209452351"/>
        <c:axId val="209445631"/>
      </c:barChart>
      <c:catAx>
        <c:axId val="209452351"/>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1500" b="1" i="0" u="none" strike="noStrike" kern="1200" cap="all" baseline="0">
                <a:solidFill>
                  <a:schemeClr val="dk1">
                    <a:lumMod val="75000"/>
                    <a:lumOff val="25000"/>
                  </a:schemeClr>
                </a:solidFill>
                <a:latin typeface="Calibri" panose="020F0502020204030204" pitchFamily="34" charset="0"/>
                <a:ea typeface="+mn-ea"/>
                <a:cs typeface="Calibri" panose="020F0502020204030204" pitchFamily="34" charset="0"/>
              </a:defRPr>
            </a:pPr>
            <a:endParaRPr lang="it-IT"/>
          </a:p>
        </c:txPr>
        <c:crossAx val="209445631"/>
        <c:crosses val="autoZero"/>
        <c:auto val="1"/>
        <c:lblAlgn val="ctr"/>
        <c:lblOffset val="100"/>
        <c:noMultiLvlLbl val="0"/>
      </c:catAx>
      <c:valAx>
        <c:axId val="209445631"/>
        <c:scaling>
          <c:orientation val="minMax"/>
        </c:scaling>
        <c:delete val="1"/>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General" sourceLinked="1"/>
        <c:majorTickMark val="none"/>
        <c:minorTickMark val="none"/>
        <c:tickLblPos val="nextTo"/>
        <c:crossAx val="209452351"/>
        <c:crosses val="autoZero"/>
        <c:crossBetween val="between"/>
      </c:valAx>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1500" b="1" i="0" u="none" strike="noStrike" kern="1200" baseline="0">
              <a:solidFill>
                <a:schemeClr val="dk1">
                  <a:lumMod val="75000"/>
                  <a:lumOff val="25000"/>
                </a:schemeClr>
              </a:solidFill>
              <a:latin typeface="Calibri" panose="020F0502020204030204" pitchFamily="34" charset="0"/>
              <a:ea typeface="+mn-ea"/>
              <a:cs typeface="Calibri" panose="020F0502020204030204" pitchFamily="34" charset="0"/>
            </a:defRPr>
          </a:pPr>
          <a:endParaRPr lang="it-IT"/>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it-IT"/>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5">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05">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02">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800" kern="1200" cap="all" spc="1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800" b="0" i="0" u="none" strike="noStrike" kern="1200" baseline="0"/>
    <cs:bodyPr rot="-5400000" spcFirstLastPara="1" vertOverflow="clip" horzOverflow="clip" vert="horz" wrap="square" lIns="38100" tIns="19050" rIns="38100" bIns="19050" anchor="ctr" anchorCtr="1">
      <a:spAutoFit/>
    </cs:bodyPr>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spc="120" normalizeH="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8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44">
  <cs:axisTitle>
    <cs:lnRef idx="0"/>
    <cs:fillRef idx="0"/>
    <cs:effectRef idx="0"/>
    <cs:fontRef idx="minor">
      <a:schemeClr val="dk1">
        <a:lumMod val="50000"/>
        <a:lumOff val="50000"/>
      </a:schemeClr>
    </cs:fontRef>
    <cs:defRPr sz="900" b="1" kern="1200"/>
  </cs:axisTitle>
  <cs:categoryAxis>
    <cs:lnRef idx="0"/>
    <cs:fillRef idx="0"/>
    <cs:effectRef idx="0"/>
    <cs:fontRef idx="minor">
      <a:schemeClr val="dk1">
        <a:lumMod val="50000"/>
        <a:lumOff val="50000"/>
      </a:schemeClr>
    </cs:fontRef>
    <cs:spPr>
      <a:ln w="9525" cap="flat" cmpd="sng" algn="ctr">
        <a:solidFill>
          <a:schemeClr val="dk1">
            <a:lumMod val="15000"/>
            <a:lumOff val="85000"/>
          </a:schemeClr>
        </a:solidFill>
        <a:round/>
      </a:ln>
    </cs:spPr>
    <cs:defRPr sz="900" kern="1200"/>
  </cs:categoryAxis>
  <cs:chartArea>
    <cs:lnRef idx="0"/>
    <cs:fillRef idx="0"/>
    <cs:effectRef idx="0"/>
    <cs:fontRef idx="minor">
      <a:schemeClr val="dk1"/>
    </cs:fontRef>
    <cs:spPr>
      <a:gradFill flip="none" rotWithShape="1">
        <a:gsLst>
          <a:gs pos="100000">
            <a:schemeClr val="lt1">
              <a:lumMod val="95000"/>
            </a:schemeClr>
          </a:gs>
          <a:gs pos="43000">
            <a:schemeClr val="lt1"/>
          </a:gs>
        </a:gsLst>
        <a:path path="circle">
          <a:fillToRect l="50000" t="50000" r="50000" b="50000"/>
        </a:path>
        <a:tileRect/>
      </a:gradFill>
      <a:ln w="9525" cap="flat" cmpd="sng" algn="ctr">
        <a:solidFill>
          <a:schemeClr val="dk1">
            <a:lumMod val="15000"/>
            <a:lumOff val="85000"/>
          </a:schemeClr>
        </a:solidFill>
        <a:round/>
      </a:ln>
    </cs:spPr>
    <cs:defRPr sz="900" kern="1200"/>
  </cs:chartArea>
  <cs:dataLabel>
    <cs:lnRef idx="0"/>
    <cs:fillRef idx="0"/>
    <cs:effectRef idx="0"/>
    <cs:fontRef idx="minor">
      <a:schemeClr val="dk1">
        <a:lumMod val="50000"/>
        <a:lumOff val="50000"/>
      </a:schemeClr>
    </cs:fontRef>
    <cs:defRPr sz="900" kern="1200"/>
  </cs:dataLabel>
  <cs:dataLabelCallout>
    <cs:lnRef idx="0"/>
    <cs:fillRef idx="0"/>
    <cs:effectRef idx="0"/>
    <cs:fontRef idx="minor">
      <a:schemeClr val="dk1">
        <a:lumMod val="65000"/>
        <a:lumOff val="35000"/>
      </a:schemeClr>
    </cs:fontRef>
    <cs:spPr>
      <a:solidFill>
        <a:schemeClr val="dk1">
          <a:lumMod val="15000"/>
          <a:lumOff val="85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a:solidFill>
          <a:schemeClr val="phClr">
            <a:alpha val="20000"/>
          </a:schemeClr>
        </a:solidFill>
      </a:ln>
    </cs:spPr>
  </cs:dataPointLine>
  <cs:dataPointMarker>
    <cs:lnRef idx="0">
      <cs:styleClr val="auto"/>
    </cs:lnRef>
    <cs:fillRef idx="0">
      <cs:styleClr val="auto"/>
    </cs:fillRef>
    <cs:effectRef idx="0"/>
    <cs:fontRef idx="minor">
      <a:schemeClr val="tx1"/>
    </cs:fontRef>
    <cs:spPr>
      <a:solidFill>
        <a:schemeClr val="phClr"/>
      </a:solidFill>
      <a:ln w="9525" cap="flat" cmpd="sng" algn="ctr">
        <a:solidFill>
          <a:schemeClr val="phClr"/>
        </a:solidFill>
        <a:round/>
      </a:ln>
    </cs:spPr>
  </cs:dataPointMarker>
  <cs:dataPointMarkerLayout symbol="circle" size="4"/>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dk1">
        <a:lumMod val="50000"/>
        <a:lumOff val="50000"/>
      </a:schemeClr>
    </cs:fontRef>
    <cs:spPr>
      <a:ln w="9525" cap="rnd">
        <a:solidFill>
          <a:schemeClr val="dk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a:solidFill>
          <a:schemeClr val="dk1">
            <a:lumMod val="50000"/>
            <a:lumOff val="50000"/>
          </a:schemeClr>
        </a:solidFill>
      </a:ln>
    </cs:spPr>
  </cs:downBar>
  <cs:dropLine>
    <cs:lnRef idx="0"/>
    <cs:fillRef idx="0"/>
    <cs:effectRef idx="0"/>
    <cs:fontRef idx="minor">
      <a:schemeClr val="tx1"/>
    </cs:fontRef>
    <cs:spPr>
      <a:ln w="9525">
        <a:solidFill>
          <a:schemeClr val="dk1">
            <a:lumMod val="35000"/>
            <a:lumOff val="65000"/>
          </a:schemeClr>
        </a:solidFill>
      </a:ln>
    </cs:spPr>
  </cs:dropLine>
  <cs:errorBar>
    <cs:lnRef idx="0"/>
    <cs:fillRef idx="0"/>
    <cs:effectRef idx="0"/>
    <cs:fontRef idx="minor">
      <a:schemeClr val="tx1"/>
    </cs:fontRef>
    <cs:spPr>
      <a:ln w="9525">
        <a:solidFill>
          <a:schemeClr val="dk1">
            <a:lumMod val="50000"/>
            <a:lumOff val="50000"/>
          </a:schemeClr>
        </a:solidFill>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dk1">
            <a:lumMod val="15000"/>
            <a:lumOff val="85000"/>
          </a:schemeClr>
        </a:solidFill>
        <a:round/>
      </a:ln>
    </cs:spPr>
  </cs:gridlineMajor>
  <cs:gridlineMinor>
    <cs:lnRef idx="0"/>
    <cs:fillRef idx="0"/>
    <cs:effectRef idx="0"/>
    <cs:fontRef idx="minor">
      <a:schemeClr val="tx1"/>
    </cs:fontRef>
    <cs:spPr>
      <a:ln w="9525" cap="flat" cmpd="sng" algn="ctr">
        <a:solidFill>
          <a:schemeClr val="dk1">
            <a:lumMod val="5000"/>
            <a:lumOff val="95000"/>
          </a:schemeClr>
        </a:solidFill>
        <a:round/>
      </a:ln>
    </cs:spPr>
  </cs:gridlineMinor>
  <cs:hiLoLine>
    <cs:lnRef idx="0"/>
    <cs:fillRef idx="0"/>
    <cs:effectRef idx="0"/>
    <cs:fontRef idx="minor">
      <a:schemeClr val="tx1"/>
    </cs:fontRef>
    <cs:spPr>
      <a:ln w="9525">
        <a:solidFill>
          <a:schemeClr val="dk1">
            <a:lumMod val="35000"/>
            <a:lumOff val="65000"/>
          </a:schemeClr>
        </a:solidFill>
      </a:ln>
    </cs:spPr>
  </cs:hiLoLine>
  <cs:leaderLine>
    <cs:lnRef idx="0"/>
    <cs:fillRef idx="0"/>
    <cs:effectRef idx="0"/>
    <cs:fontRef idx="minor">
      <a:schemeClr val="tx1"/>
    </cs:fontRef>
    <cs:spPr>
      <a:ln w="9525">
        <a:solidFill>
          <a:schemeClr val="dk1">
            <a:lumMod val="35000"/>
            <a:lumOff val="65000"/>
          </a:schemeClr>
        </a:solidFill>
      </a:ln>
    </cs:spPr>
  </cs:leaderLine>
  <cs:legend>
    <cs:lnRef idx="0"/>
    <cs:fillRef idx="0"/>
    <cs:effectRef idx="0"/>
    <cs:fontRef idx="minor">
      <a:schemeClr val="dk1">
        <a:lumMod val="50000"/>
        <a:lumOff val="50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tx1">
        <a:lumMod val="50000"/>
        <a:lumOff val="50000"/>
      </a:schemeClr>
    </cs:fontRef>
    <cs:spPr>
      <a:ln w="9525">
        <a:solidFill>
          <a:schemeClr val="dk1">
            <a:lumMod val="15000"/>
            <a:lumOff val="85000"/>
          </a:schemeClr>
        </a:solidFill>
      </a:ln>
    </cs:spPr>
    <cs:defRPr sz="900" kern="1200"/>
  </cs:seriesAxis>
  <cs:seriesLine>
    <cs:lnRef idx="0"/>
    <cs:fillRef idx="0"/>
    <cs:effectRef idx="0"/>
    <cs:fontRef idx="minor">
      <a:schemeClr val="tx1"/>
    </cs:fontRef>
    <cs:spPr>
      <a:ln w="9525">
        <a:solidFill>
          <a:schemeClr val="dk1">
            <a:lumMod val="35000"/>
            <a:lumOff val="65000"/>
          </a:schemeClr>
        </a:solidFill>
      </a:ln>
    </cs:spPr>
  </cs:seriesLine>
  <cs:title>
    <cs:lnRef idx="0"/>
    <cs:fillRef idx="0"/>
    <cs:effectRef idx="0"/>
    <cs:fontRef idx="minor">
      <a:schemeClr val="dk1">
        <a:lumMod val="50000"/>
        <a:lumOff val="50000"/>
      </a:schemeClr>
    </cs:fontRef>
    <cs:defRPr sz="1600" b="0" kern="1200" spc="70" baseline="0"/>
  </cs:title>
  <cs:trendline>
    <cs:lnRef idx="0">
      <cs:styleClr val="0"/>
    </cs:lnRef>
    <cs:fillRef idx="0"/>
    <cs:effectRef idx="0"/>
    <cs:fontRef idx="minor">
      <a:schemeClr val="tx1"/>
    </cs:fontRef>
    <cs:spPr>
      <a:ln w="63500" cap="rnd" cmpd="sng" algn="ctr">
        <a:solidFill>
          <a:schemeClr val="phClr">
            <a:alpha val="25000"/>
          </a:schemeClr>
        </a:solidFill>
        <a:round/>
      </a:ln>
    </cs:spPr>
  </cs:trendline>
  <cs:trendlineLabel>
    <cs:lnRef idx="0"/>
    <cs:fillRef idx="0"/>
    <cs:effectRef idx="0"/>
    <cs:fontRef idx="minor">
      <a:schemeClr val="dk1">
        <a:lumMod val="50000"/>
        <a:lumOff val="50000"/>
      </a:schemeClr>
    </cs:fontRef>
    <cs:defRPr sz="900" kern="1200"/>
  </cs:trendlineLabel>
  <cs:upBar>
    <cs:lnRef idx="0"/>
    <cs:fillRef idx="0"/>
    <cs:effectRef idx="0"/>
    <cs:fontRef idx="minor">
      <a:schemeClr val="tx1"/>
    </cs:fontRef>
    <cs:spPr>
      <a:solidFill>
        <a:schemeClr val="lt1"/>
      </a:solidFill>
      <a:ln w="9525">
        <a:solidFill>
          <a:schemeClr val="dk1">
            <a:lumMod val="50000"/>
            <a:lumOff val="50000"/>
          </a:schemeClr>
        </a:solidFill>
      </a:ln>
    </cs:spPr>
  </cs:upBar>
  <cs:valueAxis>
    <cs:lnRef idx="0"/>
    <cs:fillRef idx="0"/>
    <cs:effectRef idx="0"/>
    <cs:fontRef idx="minor">
      <a:schemeClr val="dk1">
        <a:lumMod val="50000"/>
        <a:lumOff val="50000"/>
      </a:schemeClr>
    </cs:fontRef>
    <cs:defRPr sz="900" kern="1200"/>
  </cs:valueAxis>
  <cs:wall>
    <cs:lnRef idx="0"/>
    <cs:fillRef idx="0"/>
    <cs:effectRef idx="0"/>
    <cs:fontRef idx="minor">
      <a:schemeClr val="tx1"/>
    </cs:fontRef>
  </cs:wall>
</cs:chartStyle>
</file>

<file path=xl/charts/style5.xml><?xml version="1.0" encoding="utf-8"?>
<cs:chartStyle xmlns:cs="http://schemas.microsoft.com/office/drawing/2012/chartStyle" xmlns:a="http://schemas.openxmlformats.org/drawingml/2006/main" id="205">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1" Type="http://schemas.openxmlformats.org/officeDocument/2006/relationships/chart" Target="../charts/chart2.xml"/></Relationships>
</file>

<file path=xl/drawings/_rels/drawing4.xml.rels><?xml version="1.0" encoding="UTF-8" standalone="yes"?>
<Relationships xmlns="http://schemas.openxmlformats.org/package/2006/relationships"><Relationship Id="rId1" Type="http://schemas.openxmlformats.org/officeDocument/2006/relationships/chart" Target="../charts/chart3.xml"/></Relationships>
</file>

<file path=xl/drawings/_rels/drawing5.xml.rels><?xml version="1.0" encoding="UTF-8" standalone="yes"?>
<Relationships xmlns="http://schemas.openxmlformats.org/package/2006/relationships"><Relationship Id="rId1" Type="http://schemas.openxmlformats.org/officeDocument/2006/relationships/chart" Target="../charts/chart4.xml"/></Relationships>
</file>

<file path=xl/drawings/_rels/drawing6.xml.rels><?xml version="1.0" encoding="UTF-8" standalone="yes"?>
<Relationships xmlns="http://schemas.openxmlformats.org/package/2006/relationships"><Relationship Id="rId1" Type="http://schemas.openxmlformats.org/officeDocument/2006/relationships/chart" Target="../charts/chart5.xml"/></Relationships>
</file>

<file path=xl/drawings/drawing1.xml><?xml version="1.0" encoding="utf-8"?>
<xdr:wsDr xmlns:xdr="http://schemas.openxmlformats.org/drawingml/2006/spreadsheetDrawing" xmlns:a="http://schemas.openxmlformats.org/drawingml/2006/main">
  <xdr:twoCellAnchor>
    <xdr:from>
      <xdr:col>4</xdr:col>
      <xdr:colOff>20982</xdr:colOff>
      <xdr:row>2</xdr:row>
      <xdr:rowOff>16933</xdr:rowOff>
    </xdr:from>
    <xdr:to>
      <xdr:col>16</xdr:col>
      <xdr:colOff>515560</xdr:colOff>
      <xdr:row>31</xdr:row>
      <xdr:rowOff>39612</xdr:rowOff>
    </xdr:to>
    <xdr:graphicFrame macro="">
      <xdr:nvGraphicFramePr>
        <xdr:cNvPr id="3" name="Grafico 2">
          <a:extLst>
            <a:ext uri="{FF2B5EF4-FFF2-40B4-BE49-F238E27FC236}">
              <a16:creationId xmlns:a16="http://schemas.microsoft.com/office/drawing/2014/main" id="{C7921D15-07EB-D31C-C9FF-2947BC73440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c:userShapes xmlns:c="http://schemas.openxmlformats.org/drawingml/2006/chart">
  <cdr:relSizeAnchor xmlns:cdr="http://schemas.openxmlformats.org/drawingml/2006/chartDrawing">
    <cdr:from>
      <cdr:x>0.42375</cdr:x>
      <cdr:y>0.31973</cdr:y>
    </cdr:from>
    <cdr:to>
      <cdr:x>0.5815</cdr:x>
      <cdr:y>0.37786</cdr:y>
    </cdr:to>
    <cdr:sp macro="" textlink="">
      <cdr:nvSpPr>
        <cdr:cNvPr id="2" name="CasellaDiTesto 1">
          <a:extLst xmlns:a="http://schemas.openxmlformats.org/drawingml/2006/main">
            <a:ext uri="{FF2B5EF4-FFF2-40B4-BE49-F238E27FC236}">
              <a16:creationId xmlns:a16="http://schemas.microsoft.com/office/drawing/2014/main" id="{A59DEBB9-4A8B-F991-B98E-33884BA0A134}"/>
            </a:ext>
          </a:extLst>
        </cdr:cNvPr>
        <cdr:cNvSpPr txBox="1"/>
      </cdr:nvSpPr>
      <cdr:spPr>
        <a:xfrm xmlns:a="http://schemas.openxmlformats.org/drawingml/2006/main">
          <a:off x="4629648" y="1891346"/>
          <a:ext cx="1723503" cy="343854"/>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pPr algn="ctr"/>
          <a:r>
            <a:rPr lang="it-IT" sz="1500" kern="1200">
              <a:solidFill>
                <a:srgbClr val="EB6B3B"/>
              </a:solidFill>
            </a:rPr>
            <a:t>Sales Trend (Polynomial)</a:t>
          </a:r>
        </a:p>
      </cdr:txBody>
    </cdr:sp>
  </cdr:relSizeAnchor>
</c:userShapes>
</file>

<file path=xl/drawings/drawing3.xml><?xml version="1.0" encoding="utf-8"?>
<xdr:wsDr xmlns:xdr="http://schemas.openxmlformats.org/drawingml/2006/spreadsheetDrawing" xmlns:a="http://schemas.openxmlformats.org/drawingml/2006/main">
  <xdr:twoCellAnchor>
    <xdr:from>
      <xdr:col>7</xdr:col>
      <xdr:colOff>29813</xdr:colOff>
      <xdr:row>8</xdr:row>
      <xdr:rowOff>187837</xdr:rowOff>
    </xdr:from>
    <xdr:to>
      <xdr:col>17</xdr:col>
      <xdr:colOff>0</xdr:colOff>
      <xdr:row>35</xdr:row>
      <xdr:rowOff>0</xdr:rowOff>
    </xdr:to>
    <xdr:graphicFrame macro="">
      <xdr:nvGraphicFramePr>
        <xdr:cNvPr id="2" name="Grafico 1">
          <a:extLst>
            <a:ext uri="{FF2B5EF4-FFF2-40B4-BE49-F238E27FC236}">
              <a16:creationId xmlns:a16="http://schemas.microsoft.com/office/drawing/2014/main" id="{45E89E97-705D-A314-D27A-C2D9D09F851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7</xdr:col>
      <xdr:colOff>1488493</xdr:colOff>
      <xdr:row>2</xdr:row>
      <xdr:rowOff>30602</xdr:rowOff>
    </xdr:from>
    <xdr:to>
      <xdr:col>27</xdr:col>
      <xdr:colOff>446216</xdr:colOff>
      <xdr:row>68</xdr:row>
      <xdr:rowOff>0</xdr:rowOff>
    </xdr:to>
    <xdr:graphicFrame macro="">
      <xdr:nvGraphicFramePr>
        <xdr:cNvPr id="2" name="Grafico 1">
          <a:extLst>
            <a:ext uri="{FF2B5EF4-FFF2-40B4-BE49-F238E27FC236}">
              <a16:creationId xmlns:a16="http://schemas.microsoft.com/office/drawing/2014/main" id="{1F2F16C4-B213-0F16-ABA9-67E9ECFF012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5</xdr:col>
      <xdr:colOff>2</xdr:colOff>
      <xdr:row>3</xdr:row>
      <xdr:rowOff>0</xdr:rowOff>
    </xdr:from>
    <xdr:to>
      <xdr:col>20</xdr:col>
      <xdr:colOff>729075</xdr:colOff>
      <xdr:row>42</xdr:row>
      <xdr:rowOff>154878</xdr:rowOff>
    </xdr:to>
    <xdr:graphicFrame macro="">
      <xdr:nvGraphicFramePr>
        <xdr:cNvPr id="3" name="Grafico 2">
          <a:extLst>
            <a:ext uri="{FF2B5EF4-FFF2-40B4-BE49-F238E27FC236}">
              <a16:creationId xmlns:a16="http://schemas.microsoft.com/office/drawing/2014/main" id="{4809E680-002A-A042-B896-50F03D51E10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0</xdr:col>
      <xdr:colOff>819150</xdr:colOff>
      <xdr:row>8</xdr:row>
      <xdr:rowOff>194733</xdr:rowOff>
    </xdr:from>
    <xdr:to>
      <xdr:col>6</xdr:col>
      <xdr:colOff>0</xdr:colOff>
      <xdr:row>35</xdr:row>
      <xdr:rowOff>0</xdr:rowOff>
    </xdr:to>
    <xdr:graphicFrame macro="">
      <xdr:nvGraphicFramePr>
        <xdr:cNvPr id="2" name="Grafico 1">
          <a:extLst>
            <a:ext uri="{FF2B5EF4-FFF2-40B4-BE49-F238E27FC236}">
              <a16:creationId xmlns:a16="http://schemas.microsoft.com/office/drawing/2014/main" id="{5F01D199-6BF6-748B-CB27-6C7526C39F0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arco Polignano" refreshedDate="45948.674603587962" createdVersion="8" refreshedVersion="8" minRefreshableVersion="3" recordCount="500" xr:uid="{ECB1E5D2-AB69-8F4B-8632-7699C4AD6EA6}">
  <cacheSource type="worksheet">
    <worksheetSource name="Dataset"/>
  </cacheSource>
  <cacheFields count="14">
    <cacheField name="Client_ID" numFmtId="0">
      <sharedItems/>
    </cacheField>
    <cacheField name="Age" numFmtId="0">
      <sharedItems containsSemiMixedTypes="0" containsString="0" containsNumber="1" containsInteger="1" minValue="18" maxValue="54"/>
    </cacheField>
    <cacheField name="Region" numFmtId="0">
      <sharedItems count="20">
        <s v="Abruzzo"/>
        <s v="Aosta Valley"/>
        <s v="Basilicata"/>
        <s v="Friuli-Venezia Giulia"/>
        <s v="Campania"/>
        <s v="Tuscany"/>
        <s v="Umbria"/>
        <s v="Sicily"/>
        <s v="Molise"/>
        <s v="Emilia-Romagna"/>
        <s v="Trentino-South Tyrol"/>
        <s v="Calabria"/>
        <s v="Apulia"/>
        <s v="Liguria"/>
        <s v="Sardinia"/>
        <s v="Lazio"/>
        <s v="Lombardy"/>
        <s v="Veneto"/>
        <s v="Piedmont"/>
        <s v="Marche"/>
      </sharedItems>
    </cacheField>
    <cacheField name="Total_Spent (€)" numFmtId="0">
      <sharedItems containsString="0" containsBlank="1" containsNumber="1" minValue="8.0299999999999994" maxValue="39.450000000000003"/>
    </cacheField>
    <cacheField name="Purchase_Date" numFmtId="0">
      <sharedItems containsBlank="1"/>
    </cacheField>
    <cacheField name="Contact_Date" numFmtId="0">
      <sharedItems/>
    </cacheField>
    <cacheField name="Purchase_Flag" numFmtId="0">
      <sharedItems containsSemiMixedTypes="0" containsString="0" containsNumber="1" containsInteger="1" minValue="0" maxValue="1"/>
    </cacheField>
    <cacheField name="Contact_Cost (€)" numFmtId="0">
      <sharedItems containsSemiMixedTypes="0" containsString="0" containsNumber="1" minValue="2.0099999999999998" maxValue="9.98"/>
    </cacheField>
    <cacheField name="Purchase_Month" numFmtId="0">
      <sharedItems/>
    </cacheField>
    <cacheField name="Purchase_Month_Number" numFmtId="1">
      <sharedItems containsSemiMixedTypes="0" containsString="0" containsNumber="1" containsInteger="1" minValue="1" maxValue="12"/>
    </cacheField>
    <cacheField name="Purchase_Month_Label" numFmtId="164">
      <sharedItems count="12">
        <s v="01 - January"/>
        <s v="05 - May"/>
        <s v="09 - September"/>
        <s v="02 - February"/>
        <s v="04 - April"/>
        <s v="07 - July"/>
        <s v="11 - November"/>
        <s v="06 - June"/>
        <s v="12 - December"/>
        <s v="03 - March"/>
        <s v="10 - October"/>
        <s v="08 - August"/>
      </sharedItems>
    </cacheField>
    <cacheField name="Purchase_Year" numFmtId="0">
      <sharedItems containsMixedTypes="1" containsNumber="1" containsInteger="1" minValue="2024" maxValue="2025"/>
    </cacheField>
    <cacheField name="Age_Group" numFmtId="0">
      <sharedItems count="4">
        <s v="Young Adults"/>
        <s v="Emerging Professionals"/>
        <s v="Mature Customers"/>
        <s v="Established Adults"/>
      </sharedItems>
    </cacheField>
    <cacheField name="Spending_Tier" numFmtId="0">
      <sharedItems count="3">
        <s v="Low Spender"/>
        <s v="Medium Spender"/>
        <s v="High Spender"/>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00">
  <r>
    <s v="C0001"/>
    <n v="25"/>
    <x v="0"/>
    <m/>
    <m/>
    <s v="2024-06-27"/>
    <n v="0"/>
    <n v="4.82"/>
    <s v="January"/>
    <n v="1"/>
    <x v="0"/>
    <s v=""/>
    <x v="0"/>
    <x v="0"/>
  </r>
  <r>
    <s v="C0002"/>
    <n v="29"/>
    <x v="1"/>
    <m/>
    <m/>
    <s v="2024-08-17"/>
    <n v="0"/>
    <n v="4"/>
    <s v="January"/>
    <n v="1"/>
    <x v="0"/>
    <s v=""/>
    <x v="1"/>
    <x v="0"/>
  </r>
  <r>
    <s v="C0003"/>
    <n v="54"/>
    <x v="2"/>
    <m/>
    <m/>
    <s v="2024-10-18"/>
    <n v="0"/>
    <n v="3.4"/>
    <s v="January"/>
    <n v="1"/>
    <x v="0"/>
    <s v=""/>
    <x v="2"/>
    <x v="0"/>
  </r>
  <r>
    <s v="C0004"/>
    <n v="42"/>
    <x v="3"/>
    <m/>
    <m/>
    <s v="2025-01-22"/>
    <n v="0"/>
    <n v="6.02"/>
    <s v="January"/>
    <n v="1"/>
    <x v="0"/>
    <s v=""/>
    <x v="3"/>
    <x v="0"/>
  </r>
  <r>
    <s v="C0005"/>
    <n v="23"/>
    <x v="4"/>
    <n v="11.06"/>
    <s v="2025-01-10"/>
    <s v="2024-12-29"/>
    <n v="1"/>
    <n v="2.92"/>
    <s v="January"/>
    <n v="1"/>
    <x v="0"/>
    <n v="2025"/>
    <x v="0"/>
    <x v="1"/>
  </r>
  <r>
    <s v="C0006"/>
    <n v="20"/>
    <x v="5"/>
    <n v="9.64"/>
    <s v="2025-05-29"/>
    <s v="2025-05-29"/>
    <n v="1"/>
    <n v="7.79"/>
    <s v="May"/>
    <n v="5"/>
    <x v="1"/>
    <n v="2025"/>
    <x v="0"/>
    <x v="0"/>
  </r>
  <r>
    <s v="C0007"/>
    <n v="45"/>
    <x v="6"/>
    <m/>
    <m/>
    <s v="2025-01-20"/>
    <n v="0"/>
    <n v="9.07"/>
    <s v="January"/>
    <n v="1"/>
    <x v="0"/>
    <s v=""/>
    <x v="3"/>
    <x v="0"/>
  </r>
  <r>
    <s v="C0008"/>
    <n v="33"/>
    <x v="7"/>
    <n v="21.3"/>
    <s v="2025-01-30"/>
    <s v="2025-01-01"/>
    <n v="1"/>
    <n v="6.68"/>
    <s v="January"/>
    <n v="1"/>
    <x v="0"/>
    <n v="2025"/>
    <x v="1"/>
    <x v="1"/>
  </r>
  <r>
    <s v="C0009"/>
    <n v="48"/>
    <x v="5"/>
    <m/>
    <m/>
    <s v="2024-07-20"/>
    <n v="0"/>
    <n v="9.0500000000000007"/>
    <s v="January"/>
    <n v="1"/>
    <x v="0"/>
    <s v=""/>
    <x v="3"/>
    <x v="0"/>
  </r>
  <r>
    <s v="C0010"/>
    <n v="44"/>
    <x v="8"/>
    <n v="10.06"/>
    <s v="2024-09-26"/>
    <s v="2024-09-17"/>
    <n v="1"/>
    <n v="8.23"/>
    <s v="September"/>
    <n v="9"/>
    <x v="2"/>
    <n v="2024"/>
    <x v="3"/>
    <x v="1"/>
  </r>
  <r>
    <s v="C0011"/>
    <n v="47"/>
    <x v="2"/>
    <n v="16.940000000000001"/>
    <s v="2025-02-16"/>
    <s v="2025-02-06"/>
    <n v="1"/>
    <n v="2.41"/>
    <s v="February"/>
    <n v="2"/>
    <x v="3"/>
    <n v="2025"/>
    <x v="3"/>
    <x v="1"/>
  </r>
  <r>
    <s v="C0012"/>
    <n v="42"/>
    <x v="9"/>
    <n v="31.74"/>
    <s v="2025-04-05"/>
    <s v="2025-03-26"/>
    <n v="1"/>
    <n v="9.26"/>
    <s v="April"/>
    <n v="4"/>
    <x v="4"/>
    <n v="2025"/>
    <x v="3"/>
    <x v="2"/>
  </r>
  <r>
    <s v="C0013"/>
    <n v="39"/>
    <x v="10"/>
    <n v="37.090000000000003"/>
    <s v="2025-05-04"/>
    <s v="2025-04-19"/>
    <n v="1"/>
    <n v="4.1399999999999997"/>
    <s v="May"/>
    <n v="5"/>
    <x v="1"/>
    <n v="2025"/>
    <x v="3"/>
    <x v="2"/>
  </r>
  <r>
    <s v="C0014"/>
    <n v="33"/>
    <x v="11"/>
    <n v="15.09"/>
    <s v="2024-07-22"/>
    <s v="2024-07-07"/>
    <n v="1"/>
    <n v="2.89"/>
    <s v="July"/>
    <n v="7"/>
    <x v="5"/>
    <n v="2024"/>
    <x v="1"/>
    <x v="1"/>
  </r>
  <r>
    <s v="C0015"/>
    <n v="36"/>
    <x v="12"/>
    <m/>
    <m/>
    <s v="2025-03-25"/>
    <n v="0"/>
    <n v="5.52"/>
    <s v="January"/>
    <n v="1"/>
    <x v="0"/>
    <s v=""/>
    <x v="3"/>
    <x v="0"/>
  </r>
  <r>
    <s v="C0016"/>
    <n v="46"/>
    <x v="13"/>
    <n v="39.130000000000003"/>
    <s v="2024-11-24"/>
    <s v="2024-11-06"/>
    <n v="1"/>
    <n v="2.34"/>
    <s v="November"/>
    <n v="11"/>
    <x v="6"/>
    <n v="2024"/>
    <x v="3"/>
    <x v="2"/>
  </r>
  <r>
    <s v="C0017"/>
    <n v="30"/>
    <x v="9"/>
    <m/>
    <m/>
    <s v="2025-02-04"/>
    <n v="0"/>
    <n v="2.34"/>
    <s v="January"/>
    <n v="1"/>
    <x v="0"/>
    <s v=""/>
    <x v="1"/>
    <x v="0"/>
  </r>
  <r>
    <s v="C0018"/>
    <n v="53"/>
    <x v="2"/>
    <m/>
    <m/>
    <s v="2024-09-06"/>
    <n v="0"/>
    <n v="5.66"/>
    <s v="January"/>
    <n v="1"/>
    <x v="0"/>
    <s v=""/>
    <x v="2"/>
    <x v="0"/>
  </r>
  <r>
    <s v="C0019"/>
    <n v="42"/>
    <x v="14"/>
    <n v="14.76"/>
    <s v="2024-06-29"/>
    <s v="2024-06-10"/>
    <n v="1"/>
    <n v="7.95"/>
    <s v="June"/>
    <n v="6"/>
    <x v="7"/>
    <n v="2024"/>
    <x v="3"/>
    <x v="1"/>
  </r>
  <r>
    <s v="C0020"/>
    <n v="25"/>
    <x v="15"/>
    <n v="16.239999999999998"/>
    <s v="2024-12-25"/>
    <s v="2024-12-16"/>
    <n v="1"/>
    <n v="7.71"/>
    <s v="December"/>
    <n v="12"/>
    <x v="8"/>
    <n v="2024"/>
    <x v="0"/>
    <x v="1"/>
  </r>
  <r>
    <s v="C0021"/>
    <n v="42"/>
    <x v="7"/>
    <n v="19.13"/>
    <s v="2025-03-25"/>
    <s v="2025-03-25"/>
    <n v="1"/>
    <n v="8.5399999999999991"/>
    <s v="March"/>
    <n v="3"/>
    <x v="9"/>
    <n v="2025"/>
    <x v="3"/>
    <x v="1"/>
  </r>
  <r>
    <s v="C0022"/>
    <n v="54"/>
    <x v="9"/>
    <m/>
    <m/>
    <s v="2024-08-11"/>
    <n v="0"/>
    <n v="9.6199999999999992"/>
    <s v="January"/>
    <n v="1"/>
    <x v="0"/>
    <s v=""/>
    <x v="2"/>
    <x v="0"/>
  </r>
  <r>
    <s v="C0023"/>
    <n v="21"/>
    <x v="2"/>
    <n v="12.65"/>
    <s v="2024-10-05"/>
    <s v="2024-09-06"/>
    <n v="1"/>
    <n v="3.56"/>
    <s v="October"/>
    <n v="10"/>
    <x v="10"/>
    <n v="2024"/>
    <x v="0"/>
    <x v="1"/>
  </r>
  <r>
    <s v="C0024"/>
    <n v="19"/>
    <x v="1"/>
    <n v="21.85"/>
    <s v="2025-02-01"/>
    <s v="2025-01-27"/>
    <n v="1"/>
    <n v="7.91"/>
    <s v="February"/>
    <n v="2"/>
    <x v="3"/>
    <n v="2025"/>
    <x v="0"/>
    <x v="1"/>
  </r>
  <r>
    <s v="C0025"/>
    <n v="37"/>
    <x v="12"/>
    <n v="22.87"/>
    <s v="2024-11-23"/>
    <s v="2024-11-23"/>
    <n v="1"/>
    <n v="9.14"/>
    <s v="November"/>
    <n v="11"/>
    <x v="6"/>
    <n v="2024"/>
    <x v="3"/>
    <x v="1"/>
  </r>
  <r>
    <s v="C0026"/>
    <n v="26"/>
    <x v="10"/>
    <m/>
    <m/>
    <s v="2024-07-26"/>
    <n v="0"/>
    <n v="4.1399999999999997"/>
    <s v="January"/>
    <n v="1"/>
    <x v="0"/>
    <s v=""/>
    <x v="1"/>
    <x v="0"/>
  </r>
  <r>
    <s v="C0027"/>
    <n v="50"/>
    <x v="16"/>
    <n v="37.340000000000003"/>
    <s v="2024-08-03"/>
    <s v="2024-07-20"/>
    <n v="1"/>
    <n v="5.05"/>
    <s v="August"/>
    <n v="8"/>
    <x v="11"/>
    <n v="2024"/>
    <x v="3"/>
    <x v="2"/>
  </r>
  <r>
    <s v="C0028"/>
    <n v="39"/>
    <x v="3"/>
    <n v="26.28"/>
    <s v="2024-12-12"/>
    <s v="2024-11-19"/>
    <n v="1"/>
    <n v="4.51"/>
    <s v="December"/>
    <n v="12"/>
    <x v="8"/>
    <n v="2024"/>
    <x v="3"/>
    <x v="2"/>
  </r>
  <r>
    <s v="C0029"/>
    <n v="18"/>
    <x v="0"/>
    <n v="21.01"/>
    <s v="2024-10-07"/>
    <s v="2024-09-23"/>
    <n v="1"/>
    <n v="4.7300000000000004"/>
    <s v="October"/>
    <n v="10"/>
    <x v="10"/>
    <n v="2024"/>
    <x v="0"/>
    <x v="1"/>
  </r>
  <r>
    <s v="C0030"/>
    <n v="37"/>
    <x v="3"/>
    <n v="38.840000000000003"/>
    <s v="2024-09-02"/>
    <s v="2024-08-22"/>
    <n v="1"/>
    <n v="8.6"/>
    <s v="September"/>
    <n v="9"/>
    <x v="2"/>
    <n v="2024"/>
    <x v="3"/>
    <x v="2"/>
  </r>
  <r>
    <s v="C0031"/>
    <n v="19"/>
    <x v="1"/>
    <n v="16.84"/>
    <s v="2024-11-21"/>
    <s v="2024-11-10"/>
    <n v="1"/>
    <n v="6.04"/>
    <s v="November"/>
    <n v="11"/>
    <x v="6"/>
    <n v="2024"/>
    <x v="0"/>
    <x v="1"/>
  </r>
  <r>
    <s v="C0032"/>
    <n v="40"/>
    <x v="4"/>
    <m/>
    <m/>
    <s v="2024-12-08"/>
    <n v="0"/>
    <n v="9.27"/>
    <s v="January"/>
    <n v="1"/>
    <x v="0"/>
    <s v=""/>
    <x v="3"/>
    <x v="0"/>
  </r>
  <r>
    <s v="C0033"/>
    <n v="22"/>
    <x v="15"/>
    <n v="9.98"/>
    <s v="2024-10-09"/>
    <s v="2024-10-07"/>
    <n v="1"/>
    <n v="8.2799999999999994"/>
    <s v="October"/>
    <n v="10"/>
    <x v="10"/>
    <n v="2024"/>
    <x v="0"/>
    <x v="0"/>
  </r>
  <r>
    <s v="C0034"/>
    <n v="48"/>
    <x v="4"/>
    <m/>
    <m/>
    <s v="2024-12-17"/>
    <n v="0"/>
    <n v="2.44"/>
    <s v="January"/>
    <n v="1"/>
    <x v="0"/>
    <s v=""/>
    <x v="3"/>
    <x v="0"/>
  </r>
  <r>
    <s v="C0035"/>
    <n v="54"/>
    <x v="8"/>
    <n v="9.51"/>
    <s v="2025-05-15"/>
    <s v="2025-05-15"/>
    <n v="1"/>
    <n v="3.5"/>
    <s v="May"/>
    <n v="5"/>
    <x v="1"/>
    <n v="2025"/>
    <x v="2"/>
    <x v="0"/>
  </r>
  <r>
    <s v="C0036"/>
    <n v="42"/>
    <x v="12"/>
    <m/>
    <m/>
    <s v="2024-07-07"/>
    <n v="0"/>
    <n v="2.64"/>
    <s v="January"/>
    <n v="1"/>
    <x v="0"/>
    <s v=""/>
    <x v="3"/>
    <x v="0"/>
  </r>
  <r>
    <s v="C0037"/>
    <n v="54"/>
    <x v="8"/>
    <n v="14.96"/>
    <s v="2025-04-28"/>
    <s v="2025-04-09"/>
    <n v="1"/>
    <n v="9.7899999999999991"/>
    <s v="April"/>
    <n v="4"/>
    <x v="4"/>
    <n v="2025"/>
    <x v="2"/>
    <x v="1"/>
  </r>
  <r>
    <s v="C0038"/>
    <n v="35"/>
    <x v="6"/>
    <m/>
    <m/>
    <s v="2025-04-25"/>
    <n v="0"/>
    <n v="9.24"/>
    <s v="January"/>
    <n v="1"/>
    <x v="0"/>
    <s v=""/>
    <x v="1"/>
    <x v="0"/>
  </r>
  <r>
    <s v="C0039"/>
    <n v="45"/>
    <x v="16"/>
    <n v="38.770000000000003"/>
    <s v="2025-02-01"/>
    <s v="2025-01-16"/>
    <n v="1"/>
    <n v="6.5"/>
    <s v="February"/>
    <n v="2"/>
    <x v="3"/>
    <n v="2025"/>
    <x v="3"/>
    <x v="2"/>
  </r>
  <r>
    <s v="C0040"/>
    <n v="23"/>
    <x v="7"/>
    <n v="11.24"/>
    <s v="2025-03-29"/>
    <s v="2025-03-14"/>
    <n v="1"/>
    <n v="5.89"/>
    <s v="March"/>
    <n v="3"/>
    <x v="9"/>
    <n v="2025"/>
    <x v="0"/>
    <x v="1"/>
  </r>
  <r>
    <s v="C0041"/>
    <n v="30"/>
    <x v="1"/>
    <m/>
    <m/>
    <s v="2024-09-29"/>
    <n v="0"/>
    <n v="6.01"/>
    <s v="January"/>
    <n v="1"/>
    <x v="0"/>
    <s v=""/>
    <x v="1"/>
    <x v="0"/>
  </r>
  <r>
    <s v="C0042"/>
    <n v="44"/>
    <x v="11"/>
    <m/>
    <m/>
    <s v="2025-02-06"/>
    <n v="0"/>
    <n v="8.74"/>
    <s v="January"/>
    <n v="1"/>
    <x v="0"/>
    <s v=""/>
    <x v="3"/>
    <x v="0"/>
  </r>
  <r>
    <s v="C0043"/>
    <n v="41"/>
    <x v="0"/>
    <m/>
    <m/>
    <s v="2025-04-03"/>
    <n v="0"/>
    <n v="4.3600000000000003"/>
    <s v="January"/>
    <n v="1"/>
    <x v="0"/>
    <s v=""/>
    <x v="3"/>
    <x v="0"/>
  </r>
  <r>
    <s v="C0044"/>
    <n v="40"/>
    <x v="11"/>
    <m/>
    <m/>
    <s v="2025-04-14"/>
    <n v="0"/>
    <n v="9.2100000000000009"/>
    <s v="January"/>
    <n v="1"/>
    <x v="0"/>
    <s v=""/>
    <x v="3"/>
    <x v="0"/>
  </r>
  <r>
    <s v="C0045"/>
    <n v="19"/>
    <x v="17"/>
    <n v="16.86"/>
    <s v="2024-09-15"/>
    <s v="2024-09-11"/>
    <n v="1"/>
    <n v="4.92"/>
    <s v="September"/>
    <n v="9"/>
    <x v="2"/>
    <n v="2024"/>
    <x v="0"/>
    <x v="1"/>
  </r>
  <r>
    <s v="C0046"/>
    <n v="46"/>
    <x v="8"/>
    <m/>
    <m/>
    <s v="2025-03-12"/>
    <n v="0"/>
    <n v="6.79"/>
    <s v="January"/>
    <n v="1"/>
    <x v="0"/>
    <s v=""/>
    <x v="3"/>
    <x v="0"/>
  </r>
  <r>
    <s v="C0047"/>
    <n v="41"/>
    <x v="15"/>
    <m/>
    <m/>
    <s v="2024-07-11"/>
    <n v="0"/>
    <n v="6.54"/>
    <s v="January"/>
    <n v="1"/>
    <x v="0"/>
    <s v=""/>
    <x v="3"/>
    <x v="0"/>
  </r>
  <r>
    <s v="C0048"/>
    <n v="23"/>
    <x v="18"/>
    <n v="22.95"/>
    <s v="2024-08-12"/>
    <s v="2024-07-24"/>
    <n v="1"/>
    <n v="6.41"/>
    <s v="August"/>
    <n v="8"/>
    <x v="11"/>
    <n v="2024"/>
    <x v="0"/>
    <x v="1"/>
  </r>
  <r>
    <s v="C0049"/>
    <n v="37"/>
    <x v="19"/>
    <n v="15.72"/>
    <s v="2024-09-19"/>
    <s v="2024-09-13"/>
    <n v="1"/>
    <n v="4.62"/>
    <s v="September"/>
    <n v="9"/>
    <x v="2"/>
    <n v="2024"/>
    <x v="3"/>
    <x v="1"/>
  </r>
  <r>
    <s v="C0050"/>
    <n v="35"/>
    <x v="14"/>
    <m/>
    <m/>
    <s v="2024-06-13"/>
    <n v="0"/>
    <n v="3.23"/>
    <s v="January"/>
    <n v="1"/>
    <x v="0"/>
    <s v=""/>
    <x v="1"/>
    <x v="0"/>
  </r>
  <r>
    <s v="C0051"/>
    <n v="40"/>
    <x v="6"/>
    <n v="22.18"/>
    <s v="2024-08-22"/>
    <s v="2024-07-29"/>
    <n v="1"/>
    <n v="9.43"/>
    <s v="August"/>
    <n v="8"/>
    <x v="11"/>
    <n v="2024"/>
    <x v="3"/>
    <x v="1"/>
  </r>
  <r>
    <s v="C0052"/>
    <n v="32"/>
    <x v="5"/>
    <n v="12.1"/>
    <s v="2025-04-08"/>
    <s v="2025-03-17"/>
    <n v="1"/>
    <n v="2.12"/>
    <s v="April"/>
    <n v="4"/>
    <x v="4"/>
    <n v="2025"/>
    <x v="1"/>
    <x v="1"/>
  </r>
  <r>
    <s v="C0053"/>
    <n v="52"/>
    <x v="18"/>
    <m/>
    <m/>
    <s v="2025-05-07"/>
    <n v="0"/>
    <n v="6.67"/>
    <s v="January"/>
    <n v="1"/>
    <x v="0"/>
    <s v=""/>
    <x v="2"/>
    <x v="0"/>
  </r>
  <r>
    <s v="C0054"/>
    <n v="19"/>
    <x v="5"/>
    <m/>
    <m/>
    <s v="2024-09-08"/>
    <n v="0"/>
    <n v="9.56"/>
    <s v="January"/>
    <n v="1"/>
    <x v="0"/>
    <s v=""/>
    <x v="0"/>
    <x v="0"/>
  </r>
  <r>
    <s v="C0055"/>
    <n v="47"/>
    <x v="7"/>
    <m/>
    <m/>
    <s v="2024-10-30"/>
    <n v="0"/>
    <n v="5.79"/>
    <s v="January"/>
    <n v="1"/>
    <x v="0"/>
    <s v=""/>
    <x v="3"/>
    <x v="0"/>
  </r>
  <r>
    <s v="C0056"/>
    <n v="31"/>
    <x v="13"/>
    <m/>
    <m/>
    <s v="2024-10-20"/>
    <n v="0"/>
    <n v="3.83"/>
    <s v="January"/>
    <n v="1"/>
    <x v="0"/>
    <s v=""/>
    <x v="1"/>
    <x v="0"/>
  </r>
  <r>
    <s v="C0057"/>
    <n v="23"/>
    <x v="18"/>
    <m/>
    <m/>
    <s v="2024-10-08"/>
    <n v="0"/>
    <n v="3.25"/>
    <s v="January"/>
    <n v="1"/>
    <x v="0"/>
    <s v=""/>
    <x v="0"/>
    <x v="0"/>
  </r>
  <r>
    <s v="C0058"/>
    <n v="37"/>
    <x v="4"/>
    <m/>
    <m/>
    <s v="2025-04-20"/>
    <n v="0"/>
    <n v="6.24"/>
    <s v="January"/>
    <n v="1"/>
    <x v="0"/>
    <s v=""/>
    <x v="3"/>
    <x v="0"/>
  </r>
  <r>
    <s v="C0059"/>
    <n v="44"/>
    <x v="12"/>
    <m/>
    <m/>
    <s v="2025-02-25"/>
    <n v="0"/>
    <n v="8.3800000000000008"/>
    <s v="January"/>
    <n v="1"/>
    <x v="0"/>
    <s v=""/>
    <x v="3"/>
    <x v="0"/>
  </r>
  <r>
    <s v="C0060"/>
    <n v="35"/>
    <x v="17"/>
    <m/>
    <m/>
    <s v="2024-12-31"/>
    <n v="0"/>
    <n v="6.96"/>
    <s v="January"/>
    <n v="1"/>
    <x v="0"/>
    <s v=""/>
    <x v="1"/>
    <x v="0"/>
  </r>
  <r>
    <s v="C0061"/>
    <n v="47"/>
    <x v="3"/>
    <n v="33.93"/>
    <s v="2024-07-17"/>
    <s v="2024-06-18"/>
    <n v="1"/>
    <n v="7.57"/>
    <s v="July"/>
    <n v="7"/>
    <x v="5"/>
    <n v="2024"/>
    <x v="3"/>
    <x v="2"/>
  </r>
  <r>
    <s v="C0062"/>
    <n v="28"/>
    <x v="14"/>
    <n v="11.45"/>
    <s v="2025-04-12"/>
    <s v="2025-04-07"/>
    <n v="1"/>
    <n v="4.4400000000000004"/>
    <s v="April"/>
    <n v="4"/>
    <x v="4"/>
    <n v="2025"/>
    <x v="1"/>
    <x v="1"/>
  </r>
  <r>
    <s v="C0063"/>
    <n v="43"/>
    <x v="18"/>
    <n v="32.08"/>
    <s v="2024-06-30"/>
    <s v="2024-06-12"/>
    <n v="1"/>
    <n v="2.58"/>
    <s v="June"/>
    <n v="6"/>
    <x v="7"/>
    <n v="2024"/>
    <x v="3"/>
    <x v="2"/>
  </r>
  <r>
    <s v="C0064"/>
    <n v="27"/>
    <x v="15"/>
    <m/>
    <m/>
    <s v="2024-11-14"/>
    <n v="0"/>
    <n v="7.09"/>
    <s v="January"/>
    <n v="1"/>
    <x v="0"/>
    <s v=""/>
    <x v="1"/>
    <x v="0"/>
  </r>
  <r>
    <s v="C0065"/>
    <n v="52"/>
    <x v="7"/>
    <n v="13.75"/>
    <s v="2024-09-27"/>
    <s v="2024-09-24"/>
    <n v="1"/>
    <n v="5.78"/>
    <s v="September"/>
    <n v="9"/>
    <x v="2"/>
    <n v="2024"/>
    <x v="2"/>
    <x v="1"/>
  </r>
  <r>
    <s v="C0066"/>
    <n v="27"/>
    <x v="15"/>
    <m/>
    <m/>
    <s v="2024-05-29"/>
    <n v="0"/>
    <n v="7.32"/>
    <s v="January"/>
    <n v="1"/>
    <x v="0"/>
    <s v=""/>
    <x v="1"/>
    <x v="0"/>
  </r>
  <r>
    <s v="C0067"/>
    <n v="22"/>
    <x v="2"/>
    <n v="9.15"/>
    <s v="2025-05-19"/>
    <s v="2025-05-16"/>
    <n v="1"/>
    <n v="6.9"/>
    <s v="May"/>
    <n v="5"/>
    <x v="1"/>
    <n v="2025"/>
    <x v="0"/>
    <x v="0"/>
  </r>
  <r>
    <s v="C0068"/>
    <n v="36"/>
    <x v="6"/>
    <m/>
    <m/>
    <s v="2024-12-03"/>
    <n v="0"/>
    <n v="7.14"/>
    <s v="January"/>
    <n v="1"/>
    <x v="0"/>
    <s v=""/>
    <x v="3"/>
    <x v="0"/>
  </r>
  <r>
    <s v="C0069"/>
    <n v="37"/>
    <x v="7"/>
    <m/>
    <m/>
    <s v="2025-04-11"/>
    <n v="0"/>
    <n v="5.62"/>
    <s v="January"/>
    <n v="1"/>
    <x v="0"/>
    <s v=""/>
    <x v="3"/>
    <x v="0"/>
  </r>
  <r>
    <s v="C0070"/>
    <n v="29"/>
    <x v="19"/>
    <m/>
    <m/>
    <s v="2025-04-05"/>
    <n v="0"/>
    <n v="3.39"/>
    <s v="January"/>
    <n v="1"/>
    <x v="0"/>
    <s v=""/>
    <x v="1"/>
    <x v="0"/>
  </r>
  <r>
    <s v="C0071"/>
    <n v="37"/>
    <x v="1"/>
    <m/>
    <m/>
    <s v="2024-12-04"/>
    <n v="0"/>
    <n v="7.24"/>
    <s v="January"/>
    <n v="1"/>
    <x v="0"/>
    <s v=""/>
    <x v="3"/>
    <x v="0"/>
  </r>
  <r>
    <s v="C0072"/>
    <n v="41"/>
    <x v="16"/>
    <m/>
    <m/>
    <s v="2024-10-29"/>
    <n v="0"/>
    <n v="4.84"/>
    <s v="January"/>
    <n v="1"/>
    <x v="0"/>
    <s v=""/>
    <x v="3"/>
    <x v="0"/>
  </r>
  <r>
    <s v="C0073"/>
    <n v="37"/>
    <x v="18"/>
    <m/>
    <m/>
    <s v="2024-07-22"/>
    <n v="0"/>
    <n v="3.28"/>
    <s v="January"/>
    <n v="1"/>
    <x v="0"/>
    <s v=""/>
    <x v="3"/>
    <x v="0"/>
  </r>
  <r>
    <s v="C0074"/>
    <n v="29"/>
    <x v="7"/>
    <m/>
    <m/>
    <s v="2025-04-11"/>
    <n v="0"/>
    <n v="7.31"/>
    <s v="January"/>
    <n v="1"/>
    <x v="0"/>
    <s v=""/>
    <x v="1"/>
    <x v="0"/>
  </r>
  <r>
    <s v="C0075"/>
    <n v="36"/>
    <x v="17"/>
    <n v="33"/>
    <s v="2024-06-28"/>
    <s v="2024-06-22"/>
    <n v="1"/>
    <n v="8.35"/>
    <s v="June"/>
    <n v="6"/>
    <x v="7"/>
    <n v="2024"/>
    <x v="3"/>
    <x v="2"/>
  </r>
  <r>
    <s v="C0076"/>
    <n v="41"/>
    <x v="12"/>
    <n v="13.41"/>
    <s v="2025-04-09"/>
    <s v="2025-03-16"/>
    <n v="1"/>
    <n v="8.64"/>
    <s v="April"/>
    <n v="4"/>
    <x v="4"/>
    <n v="2025"/>
    <x v="3"/>
    <x v="1"/>
  </r>
  <r>
    <s v="C0077"/>
    <n v="44"/>
    <x v="1"/>
    <m/>
    <m/>
    <s v="2024-08-24"/>
    <n v="0"/>
    <n v="9.4700000000000006"/>
    <s v="January"/>
    <n v="1"/>
    <x v="0"/>
    <s v=""/>
    <x v="3"/>
    <x v="0"/>
  </r>
  <r>
    <s v="C0078"/>
    <n v="54"/>
    <x v="11"/>
    <n v="21.39"/>
    <s v="2024-10-04"/>
    <s v="2024-09-06"/>
    <n v="1"/>
    <n v="3.42"/>
    <s v="October"/>
    <n v="10"/>
    <x v="10"/>
    <n v="2024"/>
    <x v="2"/>
    <x v="1"/>
  </r>
  <r>
    <s v="C0079"/>
    <n v="18"/>
    <x v="18"/>
    <m/>
    <m/>
    <s v="2024-09-15"/>
    <n v="0"/>
    <n v="2.13"/>
    <s v="January"/>
    <n v="1"/>
    <x v="0"/>
    <s v=""/>
    <x v="0"/>
    <x v="0"/>
  </r>
  <r>
    <s v="C0080"/>
    <n v="28"/>
    <x v="19"/>
    <m/>
    <m/>
    <s v="2024-07-04"/>
    <n v="0"/>
    <n v="2.63"/>
    <s v="January"/>
    <n v="1"/>
    <x v="0"/>
    <s v=""/>
    <x v="1"/>
    <x v="0"/>
  </r>
  <r>
    <s v="C0081"/>
    <n v="51"/>
    <x v="13"/>
    <m/>
    <m/>
    <s v="2025-01-09"/>
    <n v="0"/>
    <n v="9.26"/>
    <s v="January"/>
    <n v="1"/>
    <x v="0"/>
    <s v=""/>
    <x v="2"/>
    <x v="0"/>
  </r>
  <r>
    <s v="C0082"/>
    <n v="27"/>
    <x v="8"/>
    <m/>
    <m/>
    <s v="2025-04-03"/>
    <n v="0"/>
    <n v="5.39"/>
    <s v="January"/>
    <n v="1"/>
    <x v="0"/>
    <s v=""/>
    <x v="1"/>
    <x v="0"/>
  </r>
  <r>
    <s v="C0083"/>
    <n v="45"/>
    <x v="6"/>
    <m/>
    <m/>
    <s v="2024-11-22"/>
    <n v="0"/>
    <n v="8.17"/>
    <s v="January"/>
    <n v="1"/>
    <x v="0"/>
    <s v=""/>
    <x v="3"/>
    <x v="0"/>
  </r>
  <r>
    <s v="C0084"/>
    <n v="50"/>
    <x v="16"/>
    <m/>
    <m/>
    <s v="2024-09-11"/>
    <n v="0"/>
    <n v="5.58"/>
    <s v="January"/>
    <n v="1"/>
    <x v="0"/>
    <s v=""/>
    <x v="3"/>
    <x v="0"/>
  </r>
  <r>
    <s v="C0085"/>
    <n v="28"/>
    <x v="5"/>
    <n v="16.36"/>
    <s v="2024-07-29"/>
    <s v="2024-07-22"/>
    <n v="1"/>
    <n v="7.36"/>
    <s v="July"/>
    <n v="7"/>
    <x v="5"/>
    <n v="2024"/>
    <x v="1"/>
    <x v="1"/>
  </r>
  <r>
    <s v="C0086"/>
    <n v="34"/>
    <x v="3"/>
    <m/>
    <m/>
    <s v="2025-02-16"/>
    <n v="0"/>
    <n v="2.63"/>
    <s v="January"/>
    <n v="1"/>
    <x v="0"/>
    <s v=""/>
    <x v="1"/>
    <x v="0"/>
  </r>
  <r>
    <s v="C0087"/>
    <n v="39"/>
    <x v="16"/>
    <n v="25.73"/>
    <s v="2025-05-04"/>
    <s v="2025-04-28"/>
    <n v="1"/>
    <n v="4.79"/>
    <s v="May"/>
    <n v="5"/>
    <x v="1"/>
    <n v="2025"/>
    <x v="3"/>
    <x v="2"/>
  </r>
  <r>
    <s v="C0088"/>
    <n v="28"/>
    <x v="4"/>
    <m/>
    <m/>
    <s v="2025-05-10"/>
    <n v="0"/>
    <n v="3.49"/>
    <s v="January"/>
    <n v="1"/>
    <x v="0"/>
    <s v=""/>
    <x v="1"/>
    <x v="0"/>
  </r>
  <r>
    <s v="C0089"/>
    <n v="29"/>
    <x v="11"/>
    <m/>
    <m/>
    <s v="2024-11-12"/>
    <n v="0"/>
    <n v="2.5"/>
    <s v="January"/>
    <n v="1"/>
    <x v="0"/>
    <s v=""/>
    <x v="1"/>
    <x v="0"/>
  </r>
  <r>
    <s v="C0090"/>
    <n v="36"/>
    <x v="12"/>
    <n v="22.26"/>
    <s v="2025-04-05"/>
    <s v="2025-03-11"/>
    <n v="1"/>
    <n v="8.67"/>
    <s v="April"/>
    <n v="4"/>
    <x v="4"/>
    <n v="2025"/>
    <x v="3"/>
    <x v="1"/>
  </r>
  <r>
    <s v="C0091"/>
    <n v="40"/>
    <x v="13"/>
    <m/>
    <m/>
    <s v="2025-05-06"/>
    <n v="0"/>
    <n v="2.93"/>
    <s v="January"/>
    <n v="1"/>
    <x v="0"/>
    <s v=""/>
    <x v="3"/>
    <x v="0"/>
  </r>
  <r>
    <s v="C0092"/>
    <n v="26"/>
    <x v="16"/>
    <n v="15.7"/>
    <s v="2025-04-27"/>
    <s v="2025-04-12"/>
    <n v="1"/>
    <n v="5.54"/>
    <s v="April"/>
    <n v="4"/>
    <x v="4"/>
    <n v="2025"/>
    <x v="1"/>
    <x v="1"/>
  </r>
  <r>
    <s v="C0093"/>
    <n v="28"/>
    <x v="2"/>
    <n v="24.7"/>
    <s v="2024-11-16"/>
    <s v="2024-10-19"/>
    <n v="1"/>
    <n v="5.8"/>
    <s v="November"/>
    <n v="11"/>
    <x v="6"/>
    <n v="2024"/>
    <x v="1"/>
    <x v="1"/>
  </r>
  <r>
    <s v="C0094"/>
    <n v="29"/>
    <x v="11"/>
    <n v="16.600000000000001"/>
    <s v="2025-03-29"/>
    <s v="2025-03-05"/>
    <n v="1"/>
    <n v="9.86"/>
    <s v="March"/>
    <n v="3"/>
    <x v="9"/>
    <n v="2025"/>
    <x v="1"/>
    <x v="1"/>
  </r>
  <r>
    <s v="C0095"/>
    <n v="22"/>
    <x v="8"/>
    <n v="14.99"/>
    <s v="2025-03-29"/>
    <s v="2025-03-28"/>
    <n v="1"/>
    <n v="8.4700000000000006"/>
    <s v="March"/>
    <n v="3"/>
    <x v="9"/>
    <n v="2025"/>
    <x v="0"/>
    <x v="1"/>
  </r>
  <r>
    <s v="C0096"/>
    <n v="25"/>
    <x v="7"/>
    <n v="11.46"/>
    <s v="2024-11-09"/>
    <s v="2024-10-17"/>
    <n v="1"/>
    <n v="2.5299999999999998"/>
    <s v="November"/>
    <n v="11"/>
    <x v="6"/>
    <n v="2024"/>
    <x v="0"/>
    <x v="1"/>
  </r>
  <r>
    <s v="C0097"/>
    <n v="22"/>
    <x v="12"/>
    <n v="8.4"/>
    <s v="2025-01-14"/>
    <s v="2024-12-23"/>
    <n v="1"/>
    <n v="2.6"/>
    <s v="January"/>
    <n v="1"/>
    <x v="0"/>
    <n v="2025"/>
    <x v="0"/>
    <x v="0"/>
  </r>
  <r>
    <s v="C0098"/>
    <n v="48"/>
    <x v="10"/>
    <m/>
    <m/>
    <s v="2025-02-19"/>
    <n v="0"/>
    <n v="5.88"/>
    <s v="January"/>
    <n v="1"/>
    <x v="0"/>
    <s v=""/>
    <x v="3"/>
    <x v="0"/>
  </r>
  <r>
    <s v="C0099"/>
    <n v="28"/>
    <x v="12"/>
    <m/>
    <m/>
    <s v="2025-02-10"/>
    <n v="0"/>
    <n v="9.23"/>
    <s v="January"/>
    <n v="1"/>
    <x v="0"/>
    <s v=""/>
    <x v="1"/>
    <x v="0"/>
  </r>
  <r>
    <s v="C0100"/>
    <n v="26"/>
    <x v="1"/>
    <m/>
    <m/>
    <s v="2024-06-01"/>
    <n v="0"/>
    <n v="6.94"/>
    <s v="January"/>
    <n v="1"/>
    <x v="0"/>
    <s v=""/>
    <x v="1"/>
    <x v="0"/>
  </r>
  <r>
    <s v="C0101"/>
    <n v="18"/>
    <x v="8"/>
    <n v="17.649999999999999"/>
    <s v="2025-04-07"/>
    <s v="2025-03-12"/>
    <n v="1"/>
    <n v="3.61"/>
    <s v="April"/>
    <n v="4"/>
    <x v="4"/>
    <n v="2025"/>
    <x v="0"/>
    <x v="1"/>
  </r>
  <r>
    <s v="C0102"/>
    <n v="43"/>
    <x v="6"/>
    <m/>
    <m/>
    <s v="2024-09-17"/>
    <n v="0"/>
    <n v="6.62"/>
    <s v="January"/>
    <n v="1"/>
    <x v="0"/>
    <s v=""/>
    <x v="3"/>
    <x v="0"/>
  </r>
  <r>
    <s v="C0103"/>
    <n v="50"/>
    <x v="2"/>
    <n v="12.27"/>
    <s v="2024-08-17"/>
    <s v="2024-08-13"/>
    <n v="1"/>
    <n v="5.79"/>
    <s v="August"/>
    <n v="8"/>
    <x v="11"/>
    <n v="2024"/>
    <x v="3"/>
    <x v="1"/>
  </r>
  <r>
    <s v="C0104"/>
    <n v="45"/>
    <x v="8"/>
    <n v="14.26"/>
    <s v="2025-04-24"/>
    <s v="2025-03-27"/>
    <n v="1"/>
    <n v="4.18"/>
    <s v="April"/>
    <n v="4"/>
    <x v="4"/>
    <n v="2025"/>
    <x v="3"/>
    <x v="1"/>
  </r>
  <r>
    <s v="C0105"/>
    <n v="23"/>
    <x v="17"/>
    <m/>
    <m/>
    <s v="2025-03-31"/>
    <n v="0"/>
    <n v="3.63"/>
    <s v="January"/>
    <n v="1"/>
    <x v="0"/>
    <s v=""/>
    <x v="0"/>
    <x v="0"/>
  </r>
  <r>
    <s v="C0106"/>
    <n v="44"/>
    <x v="9"/>
    <m/>
    <m/>
    <s v="2024-12-25"/>
    <n v="0"/>
    <n v="2.72"/>
    <s v="January"/>
    <n v="1"/>
    <x v="0"/>
    <s v=""/>
    <x v="3"/>
    <x v="0"/>
  </r>
  <r>
    <s v="C0107"/>
    <n v="24"/>
    <x v="4"/>
    <n v="13.72"/>
    <s v="2025-02-02"/>
    <s v="2025-01-25"/>
    <n v="1"/>
    <n v="3.66"/>
    <s v="February"/>
    <n v="2"/>
    <x v="3"/>
    <n v="2025"/>
    <x v="0"/>
    <x v="1"/>
  </r>
  <r>
    <s v="C0108"/>
    <n v="29"/>
    <x v="14"/>
    <n v="20.58"/>
    <s v="2024-09-16"/>
    <s v="2024-08-17"/>
    <n v="1"/>
    <n v="7.7"/>
    <s v="September"/>
    <n v="9"/>
    <x v="2"/>
    <n v="2024"/>
    <x v="1"/>
    <x v="1"/>
  </r>
  <r>
    <s v="C0109"/>
    <n v="39"/>
    <x v="19"/>
    <m/>
    <m/>
    <s v="2024-08-19"/>
    <n v="0"/>
    <n v="3.47"/>
    <s v="January"/>
    <n v="1"/>
    <x v="0"/>
    <s v=""/>
    <x v="3"/>
    <x v="0"/>
  </r>
  <r>
    <s v="C0110"/>
    <n v="34"/>
    <x v="3"/>
    <m/>
    <m/>
    <s v="2025-05-17"/>
    <n v="0"/>
    <n v="8.3800000000000008"/>
    <s v="January"/>
    <n v="1"/>
    <x v="0"/>
    <s v=""/>
    <x v="1"/>
    <x v="0"/>
  </r>
  <r>
    <s v="C0111"/>
    <n v="32"/>
    <x v="7"/>
    <m/>
    <m/>
    <s v="2024-07-04"/>
    <n v="0"/>
    <n v="3.37"/>
    <s v="January"/>
    <n v="1"/>
    <x v="0"/>
    <s v=""/>
    <x v="1"/>
    <x v="0"/>
  </r>
  <r>
    <s v="C0112"/>
    <n v="21"/>
    <x v="6"/>
    <m/>
    <m/>
    <s v="2024-11-01"/>
    <n v="0"/>
    <n v="2.4500000000000002"/>
    <s v="January"/>
    <n v="1"/>
    <x v="0"/>
    <s v=""/>
    <x v="0"/>
    <x v="0"/>
  </r>
  <r>
    <s v="C0113"/>
    <n v="46"/>
    <x v="13"/>
    <n v="29.84"/>
    <s v="2024-10-27"/>
    <s v="2024-09-29"/>
    <n v="1"/>
    <n v="3.46"/>
    <s v="October"/>
    <n v="10"/>
    <x v="10"/>
    <n v="2024"/>
    <x v="3"/>
    <x v="2"/>
  </r>
  <r>
    <s v="C0114"/>
    <n v="31"/>
    <x v="18"/>
    <n v="21.74"/>
    <s v="2024-10-09"/>
    <s v="2024-09-21"/>
    <n v="1"/>
    <n v="9.93"/>
    <s v="October"/>
    <n v="10"/>
    <x v="10"/>
    <n v="2024"/>
    <x v="1"/>
    <x v="1"/>
  </r>
  <r>
    <s v="C0115"/>
    <n v="41"/>
    <x v="10"/>
    <n v="36.42"/>
    <s v="2024-06-18"/>
    <s v="2024-05-29"/>
    <n v="1"/>
    <n v="4.57"/>
    <s v="June"/>
    <n v="6"/>
    <x v="7"/>
    <n v="2024"/>
    <x v="3"/>
    <x v="2"/>
  </r>
  <r>
    <s v="C0116"/>
    <n v="48"/>
    <x v="13"/>
    <n v="34.770000000000003"/>
    <s v="2024-11-14"/>
    <s v="2024-11-03"/>
    <n v="1"/>
    <n v="5.24"/>
    <s v="November"/>
    <n v="11"/>
    <x v="6"/>
    <n v="2024"/>
    <x v="3"/>
    <x v="2"/>
  </r>
  <r>
    <s v="C0117"/>
    <n v="36"/>
    <x v="1"/>
    <n v="38.15"/>
    <s v="2025-05-26"/>
    <s v="2025-05-23"/>
    <n v="1"/>
    <n v="2.94"/>
    <s v="May"/>
    <n v="5"/>
    <x v="1"/>
    <n v="2025"/>
    <x v="3"/>
    <x v="2"/>
  </r>
  <r>
    <s v="C0118"/>
    <n v="31"/>
    <x v="13"/>
    <n v="22.69"/>
    <s v="2024-08-07"/>
    <s v="2024-07-22"/>
    <n v="1"/>
    <n v="3.26"/>
    <s v="August"/>
    <n v="8"/>
    <x v="11"/>
    <n v="2024"/>
    <x v="1"/>
    <x v="1"/>
  </r>
  <r>
    <s v="C0119"/>
    <n v="25"/>
    <x v="11"/>
    <n v="23.1"/>
    <s v="2025-03-25"/>
    <s v="2025-03-08"/>
    <n v="1"/>
    <n v="3.13"/>
    <s v="March"/>
    <n v="3"/>
    <x v="9"/>
    <n v="2025"/>
    <x v="0"/>
    <x v="1"/>
  </r>
  <r>
    <s v="C0120"/>
    <n v="50"/>
    <x v="19"/>
    <n v="24.36"/>
    <s v="2025-04-18"/>
    <s v="2025-03-23"/>
    <n v="1"/>
    <n v="8.83"/>
    <s v="April"/>
    <n v="4"/>
    <x v="4"/>
    <n v="2025"/>
    <x v="3"/>
    <x v="1"/>
  </r>
  <r>
    <s v="C0121"/>
    <n v="23"/>
    <x v="19"/>
    <m/>
    <m/>
    <s v="2024-11-29"/>
    <n v="0"/>
    <n v="4.79"/>
    <s v="January"/>
    <n v="1"/>
    <x v="0"/>
    <s v=""/>
    <x v="0"/>
    <x v="0"/>
  </r>
  <r>
    <s v="C0122"/>
    <n v="40"/>
    <x v="19"/>
    <m/>
    <m/>
    <s v="2025-03-29"/>
    <n v="0"/>
    <n v="5.57"/>
    <s v="January"/>
    <n v="1"/>
    <x v="0"/>
    <s v=""/>
    <x v="3"/>
    <x v="0"/>
  </r>
  <r>
    <s v="C0123"/>
    <n v="47"/>
    <x v="0"/>
    <m/>
    <m/>
    <s v="2025-05-28"/>
    <n v="0"/>
    <n v="4.0599999999999996"/>
    <s v="January"/>
    <n v="1"/>
    <x v="0"/>
    <s v=""/>
    <x v="3"/>
    <x v="0"/>
  </r>
  <r>
    <s v="C0124"/>
    <n v="37"/>
    <x v="7"/>
    <m/>
    <m/>
    <s v="2025-02-14"/>
    <n v="0"/>
    <n v="3"/>
    <s v="January"/>
    <n v="1"/>
    <x v="0"/>
    <s v=""/>
    <x v="3"/>
    <x v="0"/>
  </r>
  <r>
    <s v="C0125"/>
    <n v="26"/>
    <x v="5"/>
    <m/>
    <m/>
    <s v="2024-08-28"/>
    <n v="0"/>
    <n v="6.85"/>
    <s v="January"/>
    <n v="1"/>
    <x v="0"/>
    <s v=""/>
    <x v="1"/>
    <x v="0"/>
  </r>
  <r>
    <s v="C0126"/>
    <n v="28"/>
    <x v="0"/>
    <n v="17.39"/>
    <s v="2024-07-20"/>
    <s v="2024-07-20"/>
    <n v="1"/>
    <n v="3.98"/>
    <s v="July"/>
    <n v="7"/>
    <x v="5"/>
    <n v="2024"/>
    <x v="1"/>
    <x v="1"/>
  </r>
  <r>
    <s v="C0127"/>
    <n v="26"/>
    <x v="19"/>
    <m/>
    <m/>
    <s v="2024-08-28"/>
    <n v="0"/>
    <n v="6.4"/>
    <s v="January"/>
    <n v="1"/>
    <x v="0"/>
    <s v=""/>
    <x v="1"/>
    <x v="0"/>
  </r>
  <r>
    <s v="C0128"/>
    <n v="40"/>
    <x v="4"/>
    <m/>
    <m/>
    <s v="2024-10-27"/>
    <n v="0"/>
    <n v="9.7899999999999991"/>
    <s v="January"/>
    <n v="1"/>
    <x v="0"/>
    <s v=""/>
    <x v="3"/>
    <x v="0"/>
  </r>
  <r>
    <s v="C0129"/>
    <n v="47"/>
    <x v="7"/>
    <m/>
    <m/>
    <s v="2024-08-14"/>
    <n v="0"/>
    <n v="2.2400000000000002"/>
    <s v="January"/>
    <n v="1"/>
    <x v="0"/>
    <s v=""/>
    <x v="3"/>
    <x v="0"/>
  </r>
  <r>
    <s v="C0130"/>
    <n v="38"/>
    <x v="2"/>
    <n v="15.8"/>
    <s v="2024-11-01"/>
    <s v="2024-10-07"/>
    <n v="1"/>
    <n v="3.16"/>
    <s v="November"/>
    <n v="11"/>
    <x v="6"/>
    <n v="2024"/>
    <x v="3"/>
    <x v="1"/>
  </r>
  <r>
    <s v="C0131"/>
    <n v="22"/>
    <x v="16"/>
    <n v="14.26"/>
    <s v="2024-09-12"/>
    <s v="2024-08-23"/>
    <n v="1"/>
    <n v="9.3000000000000007"/>
    <s v="September"/>
    <n v="9"/>
    <x v="2"/>
    <n v="2024"/>
    <x v="0"/>
    <x v="1"/>
  </r>
  <r>
    <s v="C0132"/>
    <n v="51"/>
    <x v="15"/>
    <n v="22.2"/>
    <s v="2024-07-28"/>
    <s v="2024-07-04"/>
    <n v="1"/>
    <n v="2.0299999999999998"/>
    <s v="July"/>
    <n v="7"/>
    <x v="5"/>
    <n v="2024"/>
    <x v="2"/>
    <x v="1"/>
  </r>
  <r>
    <s v="C0133"/>
    <n v="42"/>
    <x v="4"/>
    <n v="9.61"/>
    <s v="2024-12-29"/>
    <s v="2024-12-21"/>
    <n v="1"/>
    <n v="4.2"/>
    <s v="December"/>
    <n v="12"/>
    <x v="8"/>
    <n v="2024"/>
    <x v="3"/>
    <x v="0"/>
  </r>
  <r>
    <s v="C0134"/>
    <n v="23"/>
    <x v="10"/>
    <n v="23.99"/>
    <s v="2025-05-27"/>
    <s v="2025-05-23"/>
    <n v="1"/>
    <n v="4.5199999999999996"/>
    <s v="May"/>
    <n v="5"/>
    <x v="1"/>
    <n v="2025"/>
    <x v="0"/>
    <x v="1"/>
  </r>
  <r>
    <s v="C0135"/>
    <n v="48"/>
    <x v="11"/>
    <m/>
    <m/>
    <s v="2025-03-01"/>
    <n v="0"/>
    <n v="6.82"/>
    <s v="January"/>
    <n v="1"/>
    <x v="0"/>
    <s v=""/>
    <x v="3"/>
    <x v="0"/>
  </r>
  <r>
    <s v="C0136"/>
    <n v="32"/>
    <x v="9"/>
    <n v="20.87"/>
    <s v="2025-05-28"/>
    <s v="2025-05-25"/>
    <n v="1"/>
    <n v="9.76"/>
    <s v="May"/>
    <n v="5"/>
    <x v="1"/>
    <n v="2025"/>
    <x v="1"/>
    <x v="1"/>
  </r>
  <r>
    <s v="C0137"/>
    <n v="20"/>
    <x v="10"/>
    <m/>
    <m/>
    <s v="2024-07-02"/>
    <n v="0"/>
    <n v="7.9"/>
    <s v="January"/>
    <n v="1"/>
    <x v="0"/>
    <s v=""/>
    <x v="0"/>
    <x v="0"/>
  </r>
  <r>
    <s v="C0138"/>
    <n v="38"/>
    <x v="8"/>
    <n v="21.01"/>
    <s v="2024-11-03"/>
    <s v="2024-10-26"/>
    <n v="1"/>
    <n v="9.43"/>
    <s v="November"/>
    <n v="11"/>
    <x v="6"/>
    <n v="2024"/>
    <x v="3"/>
    <x v="1"/>
  </r>
  <r>
    <s v="C0139"/>
    <n v="44"/>
    <x v="14"/>
    <n v="19.5"/>
    <s v="2024-11-12"/>
    <s v="2024-11-05"/>
    <n v="1"/>
    <n v="9.8000000000000007"/>
    <s v="November"/>
    <n v="11"/>
    <x v="6"/>
    <n v="2024"/>
    <x v="3"/>
    <x v="1"/>
  </r>
  <r>
    <s v="C0140"/>
    <n v="52"/>
    <x v="0"/>
    <n v="20.059999999999999"/>
    <s v="2024-10-31"/>
    <s v="2024-10-16"/>
    <n v="1"/>
    <n v="3.75"/>
    <s v="October"/>
    <n v="10"/>
    <x v="10"/>
    <n v="2024"/>
    <x v="2"/>
    <x v="1"/>
  </r>
  <r>
    <s v="C0141"/>
    <n v="49"/>
    <x v="11"/>
    <m/>
    <m/>
    <s v="2024-11-22"/>
    <n v="0"/>
    <n v="5.39"/>
    <s v="January"/>
    <n v="1"/>
    <x v="0"/>
    <s v=""/>
    <x v="3"/>
    <x v="0"/>
  </r>
  <r>
    <s v="C0142"/>
    <n v="44"/>
    <x v="3"/>
    <m/>
    <m/>
    <s v="2024-12-09"/>
    <n v="0"/>
    <n v="5.92"/>
    <s v="January"/>
    <n v="1"/>
    <x v="0"/>
    <s v=""/>
    <x v="3"/>
    <x v="0"/>
  </r>
  <r>
    <s v="C0143"/>
    <n v="46"/>
    <x v="15"/>
    <m/>
    <m/>
    <s v="2024-08-16"/>
    <n v="0"/>
    <n v="4.32"/>
    <s v="January"/>
    <n v="1"/>
    <x v="0"/>
    <s v=""/>
    <x v="3"/>
    <x v="0"/>
  </r>
  <r>
    <s v="C0144"/>
    <n v="26"/>
    <x v="19"/>
    <n v="24.22"/>
    <s v="2025-02-28"/>
    <s v="2025-02-07"/>
    <n v="1"/>
    <n v="6.95"/>
    <s v="February"/>
    <n v="2"/>
    <x v="3"/>
    <n v="2025"/>
    <x v="1"/>
    <x v="1"/>
  </r>
  <r>
    <s v="C0145"/>
    <n v="32"/>
    <x v="11"/>
    <n v="10.19"/>
    <s v="2025-01-19"/>
    <s v="2025-01-15"/>
    <n v="1"/>
    <n v="6.31"/>
    <s v="January"/>
    <n v="1"/>
    <x v="0"/>
    <n v="2025"/>
    <x v="1"/>
    <x v="1"/>
  </r>
  <r>
    <s v="C0146"/>
    <n v="20"/>
    <x v="1"/>
    <m/>
    <m/>
    <s v="2024-06-22"/>
    <n v="0"/>
    <n v="4.92"/>
    <s v="January"/>
    <n v="1"/>
    <x v="0"/>
    <s v=""/>
    <x v="0"/>
    <x v="0"/>
  </r>
  <r>
    <s v="C0147"/>
    <n v="31"/>
    <x v="3"/>
    <n v="16.43"/>
    <s v="2024-11-06"/>
    <s v="2024-10-12"/>
    <n v="1"/>
    <n v="7.64"/>
    <s v="November"/>
    <n v="11"/>
    <x v="6"/>
    <n v="2024"/>
    <x v="1"/>
    <x v="1"/>
  </r>
  <r>
    <s v="C0148"/>
    <n v="41"/>
    <x v="14"/>
    <m/>
    <m/>
    <s v="2025-05-22"/>
    <n v="0"/>
    <n v="9.5399999999999991"/>
    <s v="January"/>
    <n v="1"/>
    <x v="0"/>
    <s v=""/>
    <x v="3"/>
    <x v="0"/>
  </r>
  <r>
    <s v="C0149"/>
    <n v="24"/>
    <x v="15"/>
    <n v="23.87"/>
    <s v="2025-04-22"/>
    <s v="2025-04-14"/>
    <n v="1"/>
    <n v="5.03"/>
    <s v="April"/>
    <n v="4"/>
    <x v="4"/>
    <n v="2025"/>
    <x v="0"/>
    <x v="1"/>
  </r>
  <r>
    <s v="C0150"/>
    <n v="26"/>
    <x v="4"/>
    <m/>
    <m/>
    <s v="2025-04-11"/>
    <n v="0"/>
    <n v="8.2899999999999991"/>
    <s v="January"/>
    <n v="1"/>
    <x v="0"/>
    <s v=""/>
    <x v="1"/>
    <x v="0"/>
  </r>
  <r>
    <s v="C0151"/>
    <n v="41"/>
    <x v="15"/>
    <n v="19.149999999999999"/>
    <s v="2025-04-12"/>
    <s v="2025-03-29"/>
    <n v="1"/>
    <n v="2.0699999999999998"/>
    <s v="April"/>
    <n v="4"/>
    <x v="4"/>
    <n v="2025"/>
    <x v="3"/>
    <x v="1"/>
  </r>
  <r>
    <s v="C0152"/>
    <n v="37"/>
    <x v="16"/>
    <n v="35.43"/>
    <s v="2024-09-24"/>
    <s v="2024-09-12"/>
    <n v="1"/>
    <n v="4.88"/>
    <s v="September"/>
    <n v="9"/>
    <x v="2"/>
    <n v="2024"/>
    <x v="3"/>
    <x v="2"/>
  </r>
  <r>
    <s v="C0153"/>
    <n v="53"/>
    <x v="12"/>
    <n v="9.2100000000000009"/>
    <s v="2024-11-28"/>
    <s v="2024-11-16"/>
    <n v="1"/>
    <n v="2.59"/>
    <s v="November"/>
    <n v="11"/>
    <x v="6"/>
    <n v="2024"/>
    <x v="2"/>
    <x v="0"/>
  </r>
  <r>
    <s v="C0154"/>
    <n v="20"/>
    <x v="12"/>
    <n v="24.34"/>
    <s v="2025-04-22"/>
    <s v="2025-04-15"/>
    <n v="1"/>
    <n v="7.57"/>
    <s v="April"/>
    <n v="4"/>
    <x v="4"/>
    <n v="2025"/>
    <x v="0"/>
    <x v="1"/>
  </r>
  <r>
    <s v="C0155"/>
    <n v="42"/>
    <x v="12"/>
    <m/>
    <m/>
    <s v="2024-12-24"/>
    <n v="0"/>
    <n v="5.21"/>
    <s v="January"/>
    <n v="1"/>
    <x v="0"/>
    <s v=""/>
    <x v="3"/>
    <x v="0"/>
  </r>
  <r>
    <s v="C0156"/>
    <n v="29"/>
    <x v="2"/>
    <m/>
    <m/>
    <s v="2025-04-11"/>
    <n v="0"/>
    <n v="9.08"/>
    <s v="January"/>
    <n v="1"/>
    <x v="0"/>
    <s v=""/>
    <x v="1"/>
    <x v="0"/>
  </r>
  <r>
    <s v="C0157"/>
    <n v="38"/>
    <x v="7"/>
    <m/>
    <m/>
    <s v="2025-05-06"/>
    <n v="0"/>
    <n v="7.17"/>
    <s v="January"/>
    <n v="1"/>
    <x v="0"/>
    <s v=""/>
    <x v="3"/>
    <x v="0"/>
  </r>
  <r>
    <s v="C0158"/>
    <n v="23"/>
    <x v="0"/>
    <m/>
    <m/>
    <s v="2025-03-09"/>
    <n v="0"/>
    <n v="4.01"/>
    <s v="January"/>
    <n v="1"/>
    <x v="0"/>
    <s v=""/>
    <x v="0"/>
    <x v="0"/>
  </r>
  <r>
    <s v="C0159"/>
    <n v="22"/>
    <x v="17"/>
    <n v="15.55"/>
    <s v="2024-11-14"/>
    <s v="2024-11-05"/>
    <n v="1"/>
    <n v="9.5399999999999991"/>
    <s v="November"/>
    <n v="11"/>
    <x v="6"/>
    <n v="2024"/>
    <x v="0"/>
    <x v="1"/>
  </r>
  <r>
    <s v="C0160"/>
    <n v="26"/>
    <x v="4"/>
    <n v="19.07"/>
    <s v="2025-05-28"/>
    <s v="2025-05-18"/>
    <n v="1"/>
    <n v="3.1"/>
    <s v="May"/>
    <n v="5"/>
    <x v="1"/>
    <n v="2025"/>
    <x v="1"/>
    <x v="1"/>
  </r>
  <r>
    <s v="C0161"/>
    <n v="35"/>
    <x v="18"/>
    <n v="22.42"/>
    <s v="2024-08-10"/>
    <s v="2024-07-25"/>
    <n v="1"/>
    <n v="2.56"/>
    <s v="August"/>
    <n v="8"/>
    <x v="11"/>
    <n v="2024"/>
    <x v="1"/>
    <x v="1"/>
  </r>
  <r>
    <s v="C0162"/>
    <n v="36"/>
    <x v="6"/>
    <n v="24.83"/>
    <s v="2024-10-14"/>
    <s v="2024-10-02"/>
    <n v="1"/>
    <n v="3.67"/>
    <s v="October"/>
    <n v="10"/>
    <x v="10"/>
    <n v="2024"/>
    <x v="3"/>
    <x v="1"/>
  </r>
  <r>
    <s v="C0163"/>
    <n v="35"/>
    <x v="6"/>
    <m/>
    <m/>
    <s v="2025-04-08"/>
    <n v="0"/>
    <n v="9.36"/>
    <s v="January"/>
    <n v="1"/>
    <x v="0"/>
    <s v=""/>
    <x v="1"/>
    <x v="0"/>
  </r>
  <r>
    <s v="C0164"/>
    <n v="43"/>
    <x v="18"/>
    <n v="27.93"/>
    <s v="2024-08-05"/>
    <s v="2024-07-14"/>
    <n v="1"/>
    <n v="2.4700000000000002"/>
    <s v="August"/>
    <n v="8"/>
    <x v="11"/>
    <n v="2024"/>
    <x v="3"/>
    <x v="2"/>
  </r>
  <r>
    <s v="C0165"/>
    <n v="53"/>
    <x v="0"/>
    <m/>
    <m/>
    <s v="2024-09-06"/>
    <n v="0"/>
    <n v="7.31"/>
    <s v="January"/>
    <n v="1"/>
    <x v="0"/>
    <s v=""/>
    <x v="2"/>
    <x v="0"/>
  </r>
  <r>
    <s v="C0166"/>
    <n v="42"/>
    <x v="2"/>
    <m/>
    <m/>
    <s v="2024-08-29"/>
    <n v="0"/>
    <n v="3.13"/>
    <s v="January"/>
    <n v="1"/>
    <x v="0"/>
    <s v=""/>
    <x v="3"/>
    <x v="0"/>
  </r>
  <r>
    <s v="C0167"/>
    <n v="46"/>
    <x v="4"/>
    <m/>
    <m/>
    <s v="2024-08-04"/>
    <n v="0"/>
    <n v="3.15"/>
    <s v="January"/>
    <n v="1"/>
    <x v="0"/>
    <s v=""/>
    <x v="3"/>
    <x v="0"/>
  </r>
  <r>
    <s v="C0168"/>
    <n v="36"/>
    <x v="7"/>
    <n v="12.99"/>
    <s v="2025-04-30"/>
    <s v="2025-04-27"/>
    <n v="1"/>
    <n v="6.08"/>
    <s v="April"/>
    <n v="4"/>
    <x v="4"/>
    <n v="2025"/>
    <x v="3"/>
    <x v="1"/>
  </r>
  <r>
    <s v="C0169"/>
    <n v="29"/>
    <x v="3"/>
    <m/>
    <m/>
    <s v="2024-09-02"/>
    <n v="0"/>
    <n v="8.77"/>
    <s v="January"/>
    <n v="1"/>
    <x v="0"/>
    <s v=""/>
    <x v="1"/>
    <x v="0"/>
  </r>
  <r>
    <s v="C0170"/>
    <n v="50"/>
    <x v="18"/>
    <m/>
    <m/>
    <s v="2025-05-03"/>
    <n v="0"/>
    <n v="9.43"/>
    <s v="January"/>
    <n v="1"/>
    <x v="0"/>
    <s v=""/>
    <x v="3"/>
    <x v="0"/>
  </r>
  <r>
    <s v="C0171"/>
    <n v="20"/>
    <x v="3"/>
    <m/>
    <m/>
    <s v="2025-03-21"/>
    <n v="0"/>
    <n v="2.3199999999999998"/>
    <s v="January"/>
    <n v="1"/>
    <x v="0"/>
    <s v=""/>
    <x v="0"/>
    <x v="0"/>
  </r>
  <r>
    <s v="C0172"/>
    <n v="29"/>
    <x v="1"/>
    <m/>
    <m/>
    <s v="2025-02-18"/>
    <n v="0"/>
    <n v="6.3"/>
    <s v="January"/>
    <n v="1"/>
    <x v="0"/>
    <s v=""/>
    <x v="1"/>
    <x v="0"/>
  </r>
  <r>
    <s v="C0173"/>
    <n v="50"/>
    <x v="2"/>
    <m/>
    <m/>
    <s v="2025-04-27"/>
    <n v="0"/>
    <n v="8.1300000000000008"/>
    <s v="January"/>
    <n v="1"/>
    <x v="0"/>
    <s v=""/>
    <x v="3"/>
    <x v="0"/>
  </r>
  <r>
    <s v="C0174"/>
    <n v="20"/>
    <x v="2"/>
    <m/>
    <m/>
    <s v="2024-12-15"/>
    <n v="0"/>
    <n v="2.91"/>
    <s v="January"/>
    <n v="1"/>
    <x v="0"/>
    <s v=""/>
    <x v="0"/>
    <x v="0"/>
  </r>
  <r>
    <s v="C0175"/>
    <n v="32"/>
    <x v="17"/>
    <m/>
    <m/>
    <s v="2025-05-08"/>
    <n v="0"/>
    <n v="8.91"/>
    <s v="January"/>
    <n v="1"/>
    <x v="0"/>
    <s v=""/>
    <x v="1"/>
    <x v="0"/>
  </r>
  <r>
    <s v="C0176"/>
    <n v="21"/>
    <x v="16"/>
    <n v="14.33"/>
    <s v="2025-05-28"/>
    <s v="2025-05-15"/>
    <n v="1"/>
    <n v="9.5299999999999994"/>
    <s v="May"/>
    <n v="5"/>
    <x v="1"/>
    <n v="2025"/>
    <x v="0"/>
    <x v="1"/>
  </r>
  <r>
    <s v="C0177"/>
    <n v="22"/>
    <x v="17"/>
    <n v="20.6"/>
    <s v="2024-10-03"/>
    <s v="2024-09-03"/>
    <n v="1"/>
    <n v="3.84"/>
    <s v="October"/>
    <n v="10"/>
    <x v="10"/>
    <n v="2024"/>
    <x v="0"/>
    <x v="1"/>
  </r>
  <r>
    <s v="C0178"/>
    <n v="46"/>
    <x v="5"/>
    <n v="19.98"/>
    <s v="2024-11-15"/>
    <s v="2024-11-05"/>
    <n v="1"/>
    <n v="2.64"/>
    <s v="November"/>
    <n v="11"/>
    <x v="6"/>
    <n v="2024"/>
    <x v="3"/>
    <x v="1"/>
  </r>
  <r>
    <s v="C0179"/>
    <n v="44"/>
    <x v="9"/>
    <m/>
    <m/>
    <s v="2025-01-08"/>
    <n v="0"/>
    <n v="3.91"/>
    <s v="January"/>
    <n v="1"/>
    <x v="0"/>
    <s v=""/>
    <x v="3"/>
    <x v="0"/>
  </r>
  <r>
    <s v="C0180"/>
    <n v="26"/>
    <x v="9"/>
    <m/>
    <m/>
    <s v="2024-09-30"/>
    <n v="0"/>
    <n v="8.6999999999999993"/>
    <s v="January"/>
    <n v="1"/>
    <x v="0"/>
    <s v=""/>
    <x v="1"/>
    <x v="0"/>
  </r>
  <r>
    <s v="C0181"/>
    <n v="33"/>
    <x v="11"/>
    <n v="23.96"/>
    <s v="2025-03-25"/>
    <s v="2025-03-25"/>
    <n v="1"/>
    <n v="5.41"/>
    <s v="March"/>
    <n v="3"/>
    <x v="9"/>
    <n v="2025"/>
    <x v="1"/>
    <x v="1"/>
  </r>
  <r>
    <s v="C0182"/>
    <n v="32"/>
    <x v="7"/>
    <m/>
    <m/>
    <s v="2025-01-24"/>
    <n v="0"/>
    <n v="9.6199999999999992"/>
    <s v="January"/>
    <n v="1"/>
    <x v="0"/>
    <s v=""/>
    <x v="1"/>
    <x v="0"/>
  </r>
  <r>
    <s v="C0183"/>
    <n v="27"/>
    <x v="9"/>
    <n v="22.36"/>
    <s v="2024-10-16"/>
    <s v="2024-09-26"/>
    <n v="1"/>
    <n v="9.5500000000000007"/>
    <s v="October"/>
    <n v="10"/>
    <x v="10"/>
    <n v="2024"/>
    <x v="1"/>
    <x v="1"/>
  </r>
  <r>
    <s v="C0184"/>
    <n v="51"/>
    <x v="10"/>
    <n v="31.41"/>
    <s v="2025-02-24"/>
    <s v="2025-02-04"/>
    <n v="1"/>
    <n v="5.61"/>
    <s v="February"/>
    <n v="2"/>
    <x v="3"/>
    <n v="2025"/>
    <x v="2"/>
    <x v="2"/>
  </r>
  <r>
    <s v="C0185"/>
    <n v="33"/>
    <x v="4"/>
    <m/>
    <m/>
    <s v="2024-07-23"/>
    <n v="0"/>
    <n v="9.91"/>
    <s v="January"/>
    <n v="1"/>
    <x v="0"/>
    <s v=""/>
    <x v="1"/>
    <x v="0"/>
  </r>
  <r>
    <s v="C0186"/>
    <n v="41"/>
    <x v="19"/>
    <n v="20.66"/>
    <s v="2024-10-19"/>
    <s v="2024-09-20"/>
    <n v="1"/>
    <n v="8"/>
    <s v="October"/>
    <n v="10"/>
    <x v="10"/>
    <n v="2024"/>
    <x v="3"/>
    <x v="1"/>
  </r>
  <r>
    <s v="C0187"/>
    <n v="30"/>
    <x v="16"/>
    <n v="16.86"/>
    <s v="2025-03-11"/>
    <s v="2025-02-09"/>
    <n v="1"/>
    <n v="8.7100000000000009"/>
    <s v="March"/>
    <n v="3"/>
    <x v="9"/>
    <n v="2025"/>
    <x v="1"/>
    <x v="1"/>
  </r>
  <r>
    <s v="C0188"/>
    <n v="29"/>
    <x v="15"/>
    <m/>
    <m/>
    <s v="2025-02-18"/>
    <n v="0"/>
    <n v="5.64"/>
    <s v="January"/>
    <n v="1"/>
    <x v="0"/>
    <s v=""/>
    <x v="1"/>
    <x v="0"/>
  </r>
  <r>
    <s v="C0189"/>
    <n v="19"/>
    <x v="11"/>
    <m/>
    <m/>
    <s v="2024-12-19"/>
    <n v="0"/>
    <n v="3.02"/>
    <s v="January"/>
    <n v="1"/>
    <x v="0"/>
    <s v=""/>
    <x v="0"/>
    <x v="0"/>
  </r>
  <r>
    <s v="C0190"/>
    <n v="18"/>
    <x v="6"/>
    <m/>
    <m/>
    <s v="2025-03-28"/>
    <n v="0"/>
    <n v="2.44"/>
    <s v="January"/>
    <n v="1"/>
    <x v="0"/>
    <s v=""/>
    <x v="0"/>
    <x v="0"/>
  </r>
  <r>
    <s v="C0191"/>
    <n v="32"/>
    <x v="14"/>
    <m/>
    <m/>
    <s v="2025-03-23"/>
    <n v="0"/>
    <n v="5.0999999999999996"/>
    <s v="January"/>
    <n v="1"/>
    <x v="0"/>
    <s v=""/>
    <x v="1"/>
    <x v="0"/>
  </r>
  <r>
    <s v="C0192"/>
    <n v="28"/>
    <x v="0"/>
    <n v="24.02"/>
    <s v="2025-02-10"/>
    <s v="2025-02-09"/>
    <n v="1"/>
    <n v="8.23"/>
    <s v="February"/>
    <n v="2"/>
    <x v="3"/>
    <n v="2025"/>
    <x v="1"/>
    <x v="1"/>
  </r>
  <r>
    <s v="C0193"/>
    <n v="32"/>
    <x v="7"/>
    <n v="21.5"/>
    <s v="2024-09-08"/>
    <s v="2024-08-31"/>
    <n v="1"/>
    <n v="5.61"/>
    <s v="September"/>
    <n v="9"/>
    <x v="2"/>
    <n v="2024"/>
    <x v="1"/>
    <x v="1"/>
  </r>
  <r>
    <s v="C0194"/>
    <n v="47"/>
    <x v="15"/>
    <m/>
    <m/>
    <s v="2024-12-12"/>
    <n v="0"/>
    <n v="7.85"/>
    <s v="January"/>
    <n v="1"/>
    <x v="0"/>
    <s v=""/>
    <x v="3"/>
    <x v="0"/>
  </r>
  <r>
    <s v="C0195"/>
    <n v="28"/>
    <x v="19"/>
    <n v="12.52"/>
    <s v="2025-02-08"/>
    <s v="2025-02-03"/>
    <n v="1"/>
    <n v="7.77"/>
    <s v="February"/>
    <n v="2"/>
    <x v="3"/>
    <n v="2025"/>
    <x v="1"/>
    <x v="1"/>
  </r>
  <r>
    <s v="C0196"/>
    <n v="32"/>
    <x v="4"/>
    <m/>
    <m/>
    <s v="2024-11-20"/>
    <n v="0"/>
    <n v="2.2400000000000002"/>
    <s v="January"/>
    <n v="1"/>
    <x v="0"/>
    <s v=""/>
    <x v="1"/>
    <x v="0"/>
  </r>
  <r>
    <s v="C0197"/>
    <n v="22"/>
    <x v="10"/>
    <n v="14.25"/>
    <s v="2024-11-13"/>
    <s v="2024-10-14"/>
    <n v="1"/>
    <n v="8.16"/>
    <s v="November"/>
    <n v="11"/>
    <x v="6"/>
    <n v="2024"/>
    <x v="0"/>
    <x v="1"/>
  </r>
  <r>
    <s v="C0198"/>
    <n v="48"/>
    <x v="0"/>
    <m/>
    <m/>
    <s v="2025-05-24"/>
    <n v="0"/>
    <n v="4.4800000000000004"/>
    <s v="January"/>
    <n v="1"/>
    <x v="0"/>
    <s v=""/>
    <x v="3"/>
    <x v="0"/>
  </r>
  <r>
    <s v="C0199"/>
    <n v="21"/>
    <x v="7"/>
    <m/>
    <m/>
    <s v="2024-07-08"/>
    <n v="0"/>
    <n v="9.8699999999999992"/>
    <s v="January"/>
    <n v="1"/>
    <x v="0"/>
    <s v=""/>
    <x v="0"/>
    <x v="0"/>
  </r>
  <r>
    <s v="C0200"/>
    <n v="29"/>
    <x v="10"/>
    <m/>
    <m/>
    <s v="2025-05-05"/>
    <n v="0"/>
    <n v="5.68"/>
    <s v="January"/>
    <n v="1"/>
    <x v="0"/>
    <s v=""/>
    <x v="1"/>
    <x v="0"/>
  </r>
  <r>
    <s v="C0201"/>
    <n v="22"/>
    <x v="11"/>
    <n v="15.9"/>
    <s v="2025-04-12"/>
    <s v="2025-03-30"/>
    <n v="1"/>
    <n v="3.23"/>
    <s v="April"/>
    <n v="4"/>
    <x v="4"/>
    <n v="2025"/>
    <x v="0"/>
    <x v="1"/>
  </r>
  <r>
    <s v="C0202"/>
    <n v="39"/>
    <x v="10"/>
    <n v="27.42"/>
    <s v="2025-03-12"/>
    <s v="2025-03-12"/>
    <n v="1"/>
    <n v="3.57"/>
    <s v="March"/>
    <n v="3"/>
    <x v="9"/>
    <n v="2025"/>
    <x v="3"/>
    <x v="2"/>
  </r>
  <r>
    <s v="C0203"/>
    <n v="40"/>
    <x v="14"/>
    <n v="20.7"/>
    <s v="2024-08-24"/>
    <s v="2024-08-17"/>
    <n v="1"/>
    <n v="2.41"/>
    <s v="August"/>
    <n v="8"/>
    <x v="11"/>
    <n v="2024"/>
    <x v="3"/>
    <x v="1"/>
  </r>
  <r>
    <s v="C0204"/>
    <n v="51"/>
    <x v="1"/>
    <m/>
    <m/>
    <s v="2024-09-03"/>
    <n v="0"/>
    <n v="6.83"/>
    <s v="January"/>
    <n v="1"/>
    <x v="0"/>
    <s v=""/>
    <x v="2"/>
    <x v="0"/>
  </r>
  <r>
    <s v="C0205"/>
    <n v="19"/>
    <x v="7"/>
    <m/>
    <m/>
    <s v="2024-07-06"/>
    <n v="0"/>
    <n v="6.21"/>
    <s v="January"/>
    <n v="1"/>
    <x v="0"/>
    <s v=""/>
    <x v="0"/>
    <x v="0"/>
  </r>
  <r>
    <s v="C0206"/>
    <n v="29"/>
    <x v="7"/>
    <n v="19.920000000000002"/>
    <s v="2025-02-23"/>
    <s v="2025-02-03"/>
    <n v="1"/>
    <n v="5.5"/>
    <s v="February"/>
    <n v="2"/>
    <x v="3"/>
    <n v="2025"/>
    <x v="1"/>
    <x v="1"/>
  </r>
  <r>
    <s v="C0207"/>
    <n v="25"/>
    <x v="17"/>
    <m/>
    <m/>
    <s v="2024-10-23"/>
    <n v="0"/>
    <n v="7.96"/>
    <s v="January"/>
    <n v="1"/>
    <x v="0"/>
    <s v=""/>
    <x v="0"/>
    <x v="0"/>
  </r>
  <r>
    <s v="C0208"/>
    <n v="28"/>
    <x v="10"/>
    <m/>
    <m/>
    <s v="2024-10-07"/>
    <n v="0"/>
    <n v="5.97"/>
    <s v="January"/>
    <n v="1"/>
    <x v="0"/>
    <s v=""/>
    <x v="1"/>
    <x v="0"/>
  </r>
  <r>
    <s v="C0209"/>
    <n v="37"/>
    <x v="14"/>
    <n v="14.98"/>
    <s v="2025-05-15"/>
    <s v="2025-04-28"/>
    <n v="1"/>
    <n v="6.67"/>
    <s v="May"/>
    <n v="5"/>
    <x v="1"/>
    <n v="2025"/>
    <x v="3"/>
    <x v="1"/>
  </r>
  <r>
    <s v="C0210"/>
    <n v="20"/>
    <x v="17"/>
    <m/>
    <m/>
    <s v="2024-11-22"/>
    <n v="0"/>
    <n v="4.7300000000000004"/>
    <s v="January"/>
    <n v="1"/>
    <x v="0"/>
    <s v=""/>
    <x v="0"/>
    <x v="0"/>
  </r>
  <r>
    <s v="C0211"/>
    <n v="26"/>
    <x v="7"/>
    <m/>
    <m/>
    <s v="2024-05-31"/>
    <n v="0"/>
    <n v="9.9"/>
    <s v="January"/>
    <n v="1"/>
    <x v="0"/>
    <s v=""/>
    <x v="1"/>
    <x v="0"/>
  </r>
  <r>
    <s v="C0212"/>
    <n v="38"/>
    <x v="15"/>
    <m/>
    <m/>
    <s v="2024-11-26"/>
    <n v="0"/>
    <n v="9.4700000000000006"/>
    <s v="January"/>
    <n v="1"/>
    <x v="0"/>
    <s v=""/>
    <x v="3"/>
    <x v="0"/>
  </r>
  <r>
    <s v="C0213"/>
    <n v="49"/>
    <x v="14"/>
    <m/>
    <m/>
    <s v="2025-05-27"/>
    <n v="0"/>
    <n v="2.58"/>
    <s v="January"/>
    <n v="1"/>
    <x v="0"/>
    <s v=""/>
    <x v="3"/>
    <x v="0"/>
  </r>
  <r>
    <s v="C0214"/>
    <n v="50"/>
    <x v="14"/>
    <n v="12.39"/>
    <s v="2024-11-11"/>
    <s v="2024-10-14"/>
    <n v="1"/>
    <n v="6.69"/>
    <s v="November"/>
    <n v="11"/>
    <x v="6"/>
    <n v="2024"/>
    <x v="3"/>
    <x v="1"/>
  </r>
  <r>
    <s v="C0215"/>
    <n v="52"/>
    <x v="19"/>
    <n v="23.18"/>
    <s v="2025-05-07"/>
    <s v="2025-04-11"/>
    <n v="1"/>
    <n v="7.86"/>
    <s v="May"/>
    <n v="5"/>
    <x v="1"/>
    <n v="2025"/>
    <x v="2"/>
    <x v="1"/>
  </r>
  <r>
    <s v="C0216"/>
    <n v="22"/>
    <x v="2"/>
    <n v="18.239999999999998"/>
    <s v="2024-08-28"/>
    <s v="2024-08-01"/>
    <n v="1"/>
    <n v="7.95"/>
    <s v="August"/>
    <n v="8"/>
    <x v="11"/>
    <n v="2024"/>
    <x v="0"/>
    <x v="1"/>
  </r>
  <r>
    <s v="C0217"/>
    <n v="19"/>
    <x v="1"/>
    <n v="24.83"/>
    <s v="2025-04-25"/>
    <s v="2025-04-20"/>
    <n v="1"/>
    <n v="5.08"/>
    <s v="April"/>
    <n v="4"/>
    <x v="4"/>
    <n v="2025"/>
    <x v="0"/>
    <x v="1"/>
  </r>
  <r>
    <s v="C0218"/>
    <n v="51"/>
    <x v="9"/>
    <n v="33.79"/>
    <s v="2024-11-23"/>
    <s v="2024-10-30"/>
    <n v="1"/>
    <n v="6.4"/>
    <s v="November"/>
    <n v="11"/>
    <x v="6"/>
    <n v="2024"/>
    <x v="2"/>
    <x v="2"/>
  </r>
  <r>
    <s v="C0219"/>
    <n v="34"/>
    <x v="1"/>
    <m/>
    <m/>
    <s v="2024-08-27"/>
    <n v="0"/>
    <n v="6.81"/>
    <s v="January"/>
    <n v="1"/>
    <x v="0"/>
    <s v=""/>
    <x v="1"/>
    <x v="0"/>
  </r>
  <r>
    <s v="C0220"/>
    <n v="28"/>
    <x v="4"/>
    <m/>
    <m/>
    <s v="2024-08-20"/>
    <n v="0"/>
    <n v="9.58"/>
    <s v="January"/>
    <n v="1"/>
    <x v="0"/>
    <s v=""/>
    <x v="1"/>
    <x v="0"/>
  </r>
  <r>
    <s v="C0221"/>
    <n v="24"/>
    <x v="12"/>
    <m/>
    <m/>
    <s v="2024-09-01"/>
    <n v="0"/>
    <n v="7.38"/>
    <s v="January"/>
    <n v="1"/>
    <x v="0"/>
    <s v=""/>
    <x v="0"/>
    <x v="0"/>
  </r>
  <r>
    <s v="C0222"/>
    <n v="19"/>
    <x v="0"/>
    <m/>
    <m/>
    <s v="2025-01-31"/>
    <n v="0"/>
    <n v="7.92"/>
    <s v="January"/>
    <n v="1"/>
    <x v="0"/>
    <s v=""/>
    <x v="0"/>
    <x v="0"/>
  </r>
  <r>
    <s v="C0223"/>
    <n v="19"/>
    <x v="4"/>
    <n v="8.2899999999999991"/>
    <s v="2025-05-02"/>
    <s v="2025-04-10"/>
    <n v="1"/>
    <n v="8.6199999999999992"/>
    <s v="May"/>
    <n v="5"/>
    <x v="1"/>
    <n v="2025"/>
    <x v="0"/>
    <x v="0"/>
  </r>
  <r>
    <s v="C0224"/>
    <n v="54"/>
    <x v="9"/>
    <n v="38.549999999999997"/>
    <s v="2024-11-27"/>
    <s v="2024-11-18"/>
    <n v="1"/>
    <n v="6.42"/>
    <s v="November"/>
    <n v="11"/>
    <x v="6"/>
    <n v="2024"/>
    <x v="2"/>
    <x v="2"/>
  </r>
  <r>
    <s v="C0225"/>
    <n v="23"/>
    <x v="13"/>
    <n v="20.13"/>
    <s v="2025-02-07"/>
    <s v="2025-01-27"/>
    <n v="1"/>
    <n v="5.71"/>
    <s v="February"/>
    <n v="2"/>
    <x v="3"/>
    <n v="2025"/>
    <x v="0"/>
    <x v="1"/>
  </r>
  <r>
    <s v="C0226"/>
    <n v="51"/>
    <x v="19"/>
    <m/>
    <m/>
    <s v="2024-12-14"/>
    <n v="0"/>
    <n v="8.56"/>
    <s v="January"/>
    <n v="1"/>
    <x v="0"/>
    <s v=""/>
    <x v="2"/>
    <x v="0"/>
  </r>
  <r>
    <s v="C0227"/>
    <n v="29"/>
    <x v="7"/>
    <n v="20.28"/>
    <s v="2024-08-17"/>
    <s v="2024-08-13"/>
    <n v="1"/>
    <n v="7.01"/>
    <s v="August"/>
    <n v="8"/>
    <x v="11"/>
    <n v="2024"/>
    <x v="1"/>
    <x v="1"/>
  </r>
  <r>
    <s v="C0228"/>
    <n v="19"/>
    <x v="14"/>
    <n v="10.92"/>
    <s v="2025-05-07"/>
    <s v="2025-04-30"/>
    <n v="1"/>
    <n v="6.44"/>
    <s v="May"/>
    <n v="5"/>
    <x v="1"/>
    <n v="2025"/>
    <x v="0"/>
    <x v="1"/>
  </r>
  <r>
    <s v="C0229"/>
    <n v="34"/>
    <x v="15"/>
    <n v="10.14"/>
    <s v="2024-10-05"/>
    <s v="2024-09-19"/>
    <n v="1"/>
    <n v="5"/>
    <s v="October"/>
    <n v="10"/>
    <x v="10"/>
    <n v="2024"/>
    <x v="1"/>
    <x v="1"/>
  </r>
  <r>
    <s v="C0230"/>
    <n v="42"/>
    <x v="0"/>
    <n v="10.08"/>
    <s v="2025-02-15"/>
    <s v="2025-01-20"/>
    <n v="1"/>
    <n v="3.48"/>
    <s v="February"/>
    <n v="2"/>
    <x v="3"/>
    <n v="2025"/>
    <x v="3"/>
    <x v="1"/>
  </r>
  <r>
    <s v="C0231"/>
    <n v="30"/>
    <x v="9"/>
    <m/>
    <m/>
    <s v="2024-11-06"/>
    <n v="0"/>
    <n v="5.23"/>
    <s v="January"/>
    <n v="1"/>
    <x v="0"/>
    <s v=""/>
    <x v="1"/>
    <x v="0"/>
  </r>
  <r>
    <s v="C0232"/>
    <n v="25"/>
    <x v="8"/>
    <m/>
    <m/>
    <s v="2024-11-22"/>
    <n v="0"/>
    <n v="9.9600000000000009"/>
    <s v="January"/>
    <n v="1"/>
    <x v="0"/>
    <s v=""/>
    <x v="0"/>
    <x v="0"/>
  </r>
  <r>
    <s v="C0233"/>
    <n v="33"/>
    <x v="13"/>
    <n v="19.46"/>
    <s v="2024-11-13"/>
    <s v="2024-10-21"/>
    <n v="1"/>
    <n v="2.14"/>
    <s v="November"/>
    <n v="11"/>
    <x v="6"/>
    <n v="2024"/>
    <x v="1"/>
    <x v="1"/>
  </r>
  <r>
    <s v="C0234"/>
    <n v="38"/>
    <x v="1"/>
    <n v="27.79"/>
    <s v="2025-04-19"/>
    <s v="2025-04-15"/>
    <n v="1"/>
    <n v="4.32"/>
    <s v="April"/>
    <n v="4"/>
    <x v="4"/>
    <n v="2025"/>
    <x v="3"/>
    <x v="2"/>
  </r>
  <r>
    <s v="C0235"/>
    <n v="27"/>
    <x v="3"/>
    <n v="15.78"/>
    <s v="2025-02-05"/>
    <s v="2025-01-16"/>
    <n v="1"/>
    <n v="8.25"/>
    <s v="February"/>
    <n v="2"/>
    <x v="3"/>
    <n v="2025"/>
    <x v="1"/>
    <x v="1"/>
  </r>
  <r>
    <s v="C0236"/>
    <n v="40"/>
    <x v="9"/>
    <m/>
    <m/>
    <s v="2024-09-09"/>
    <n v="0"/>
    <n v="2.7"/>
    <s v="January"/>
    <n v="1"/>
    <x v="0"/>
    <s v=""/>
    <x v="3"/>
    <x v="0"/>
  </r>
  <r>
    <s v="C0237"/>
    <n v="30"/>
    <x v="13"/>
    <n v="15.68"/>
    <s v="2024-08-05"/>
    <s v="2024-07-29"/>
    <n v="1"/>
    <n v="8.8000000000000007"/>
    <s v="August"/>
    <n v="8"/>
    <x v="11"/>
    <n v="2024"/>
    <x v="1"/>
    <x v="1"/>
  </r>
  <r>
    <s v="C0238"/>
    <n v="38"/>
    <x v="18"/>
    <m/>
    <m/>
    <s v="2024-10-07"/>
    <n v="0"/>
    <n v="5.74"/>
    <s v="January"/>
    <n v="1"/>
    <x v="0"/>
    <s v=""/>
    <x v="3"/>
    <x v="0"/>
  </r>
  <r>
    <s v="C0239"/>
    <n v="20"/>
    <x v="5"/>
    <m/>
    <m/>
    <s v="2024-07-08"/>
    <n v="0"/>
    <n v="7.05"/>
    <s v="January"/>
    <n v="1"/>
    <x v="0"/>
    <s v=""/>
    <x v="0"/>
    <x v="0"/>
  </r>
  <r>
    <s v="C0240"/>
    <n v="24"/>
    <x v="18"/>
    <m/>
    <m/>
    <s v="2024-12-11"/>
    <n v="0"/>
    <n v="5.62"/>
    <s v="January"/>
    <n v="1"/>
    <x v="0"/>
    <s v=""/>
    <x v="0"/>
    <x v="0"/>
  </r>
  <r>
    <s v="C0241"/>
    <n v="42"/>
    <x v="12"/>
    <n v="23.02"/>
    <s v="2024-07-02"/>
    <s v="2024-06-28"/>
    <n v="1"/>
    <n v="8.33"/>
    <s v="July"/>
    <n v="7"/>
    <x v="5"/>
    <n v="2024"/>
    <x v="3"/>
    <x v="1"/>
  </r>
  <r>
    <s v="C0242"/>
    <n v="44"/>
    <x v="15"/>
    <m/>
    <m/>
    <s v="2024-08-10"/>
    <n v="0"/>
    <n v="5.24"/>
    <s v="January"/>
    <n v="1"/>
    <x v="0"/>
    <s v=""/>
    <x v="3"/>
    <x v="0"/>
  </r>
  <r>
    <s v="C0243"/>
    <n v="28"/>
    <x v="12"/>
    <n v="17.59"/>
    <s v="2024-08-29"/>
    <s v="2024-08-24"/>
    <n v="1"/>
    <n v="6.48"/>
    <s v="August"/>
    <n v="8"/>
    <x v="11"/>
    <n v="2024"/>
    <x v="1"/>
    <x v="1"/>
  </r>
  <r>
    <s v="C0244"/>
    <n v="39"/>
    <x v="12"/>
    <n v="22.59"/>
    <s v="2024-09-08"/>
    <s v="2024-08-31"/>
    <n v="1"/>
    <n v="9.92"/>
    <s v="September"/>
    <n v="9"/>
    <x v="2"/>
    <n v="2024"/>
    <x v="3"/>
    <x v="1"/>
  </r>
  <r>
    <s v="C0245"/>
    <n v="34"/>
    <x v="8"/>
    <m/>
    <m/>
    <s v="2025-03-22"/>
    <n v="0"/>
    <n v="8.18"/>
    <s v="January"/>
    <n v="1"/>
    <x v="0"/>
    <s v=""/>
    <x v="1"/>
    <x v="0"/>
  </r>
  <r>
    <s v="C0246"/>
    <n v="40"/>
    <x v="17"/>
    <m/>
    <m/>
    <s v="2024-06-18"/>
    <n v="0"/>
    <n v="2.35"/>
    <s v="January"/>
    <n v="1"/>
    <x v="0"/>
    <s v=""/>
    <x v="3"/>
    <x v="0"/>
  </r>
  <r>
    <s v="C0247"/>
    <n v="43"/>
    <x v="1"/>
    <m/>
    <m/>
    <s v="2025-02-10"/>
    <n v="0"/>
    <n v="7.89"/>
    <s v="January"/>
    <n v="1"/>
    <x v="0"/>
    <s v=""/>
    <x v="3"/>
    <x v="0"/>
  </r>
  <r>
    <s v="C0248"/>
    <n v="41"/>
    <x v="12"/>
    <n v="10.6"/>
    <s v="2024-11-10"/>
    <s v="2024-10-21"/>
    <n v="1"/>
    <n v="7.77"/>
    <s v="November"/>
    <n v="11"/>
    <x v="6"/>
    <n v="2024"/>
    <x v="3"/>
    <x v="1"/>
  </r>
  <r>
    <s v="C0249"/>
    <n v="48"/>
    <x v="7"/>
    <m/>
    <m/>
    <s v="2024-08-03"/>
    <n v="0"/>
    <n v="6.21"/>
    <s v="January"/>
    <n v="1"/>
    <x v="0"/>
    <s v=""/>
    <x v="3"/>
    <x v="0"/>
  </r>
  <r>
    <s v="C0250"/>
    <n v="36"/>
    <x v="4"/>
    <m/>
    <m/>
    <s v="2024-06-10"/>
    <n v="0"/>
    <n v="7.51"/>
    <s v="January"/>
    <n v="1"/>
    <x v="0"/>
    <s v=""/>
    <x v="3"/>
    <x v="0"/>
  </r>
  <r>
    <s v="C0251"/>
    <n v="18"/>
    <x v="4"/>
    <m/>
    <m/>
    <s v="2024-09-17"/>
    <n v="0"/>
    <n v="6.38"/>
    <s v="January"/>
    <n v="1"/>
    <x v="0"/>
    <s v=""/>
    <x v="0"/>
    <x v="0"/>
  </r>
  <r>
    <s v="C0252"/>
    <n v="44"/>
    <x v="7"/>
    <m/>
    <m/>
    <s v="2025-01-05"/>
    <n v="0"/>
    <n v="9.43"/>
    <s v="January"/>
    <n v="1"/>
    <x v="0"/>
    <s v=""/>
    <x v="3"/>
    <x v="0"/>
  </r>
  <r>
    <s v="C0253"/>
    <n v="25"/>
    <x v="16"/>
    <m/>
    <m/>
    <s v="2024-10-26"/>
    <n v="0"/>
    <n v="6.46"/>
    <s v="January"/>
    <n v="1"/>
    <x v="0"/>
    <s v=""/>
    <x v="0"/>
    <x v="0"/>
  </r>
  <r>
    <s v="C0254"/>
    <n v="43"/>
    <x v="0"/>
    <m/>
    <m/>
    <s v="2025-04-17"/>
    <n v="0"/>
    <n v="2.42"/>
    <s v="January"/>
    <n v="1"/>
    <x v="0"/>
    <s v=""/>
    <x v="3"/>
    <x v="0"/>
  </r>
  <r>
    <s v="C0255"/>
    <n v="37"/>
    <x v="2"/>
    <m/>
    <m/>
    <s v="2025-02-18"/>
    <n v="0"/>
    <n v="7.37"/>
    <s v="January"/>
    <n v="1"/>
    <x v="0"/>
    <s v=""/>
    <x v="3"/>
    <x v="0"/>
  </r>
  <r>
    <s v="C0256"/>
    <n v="25"/>
    <x v="5"/>
    <n v="23.11"/>
    <s v="2025-05-14"/>
    <s v="2025-04-21"/>
    <n v="1"/>
    <n v="4.17"/>
    <s v="May"/>
    <n v="5"/>
    <x v="1"/>
    <n v="2025"/>
    <x v="0"/>
    <x v="1"/>
  </r>
  <r>
    <s v="C0257"/>
    <n v="30"/>
    <x v="6"/>
    <m/>
    <m/>
    <s v="2024-10-13"/>
    <n v="0"/>
    <n v="5.0199999999999996"/>
    <s v="January"/>
    <n v="1"/>
    <x v="0"/>
    <s v=""/>
    <x v="1"/>
    <x v="0"/>
  </r>
  <r>
    <s v="C0258"/>
    <n v="54"/>
    <x v="9"/>
    <m/>
    <m/>
    <s v="2025-03-11"/>
    <n v="0"/>
    <n v="8.2200000000000006"/>
    <s v="January"/>
    <n v="1"/>
    <x v="0"/>
    <s v=""/>
    <x v="2"/>
    <x v="0"/>
  </r>
  <r>
    <s v="C0259"/>
    <n v="46"/>
    <x v="0"/>
    <m/>
    <m/>
    <s v="2025-01-30"/>
    <n v="0"/>
    <n v="5.28"/>
    <s v="January"/>
    <n v="1"/>
    <x v="0"/>
    <s v=""/>
    <x v="3"/>
    <x v="0"/>
  </r>
  <r>
    <s v="C0260"/>
    <n v="32"/>
    <x v="12"/>
    <m/>
    <m/>
    <s v="2025-01-21"/>
    <n v="0"/>
    <n v="9.92"/>
    <s v="January"/>
    <n v="1"/>
    <x v="0"/>
    <s v=""/>
    <x v="1"/>
    <x v="0"/>
  </r>
  <r>
    <s v="C0261"/>
    <n v="20"/>
    <x v="2"/>
    <m/>
    <m/>
    <s v="2024-12-27"/>
    <n v="0"/>
    <n v="8.85"/>
    <s v="January"/>
    <n v="1"/>
    <x v="0"/>
    <s v=""/>
    <x v="0"/>
    <x v="0"/>
  </r>
  <r>
    <s v="C0262"/>
    <n v="43"/>
    <x v="0"/>
    <m/>
    <m/>
    <s v="2024-09-19"/>
    <n v="0"/>
    <n v="3.68"/>
    <s v="January"/>
    <n v="1"/>
    <x v="0"/>
    <s v=""/>
    <x v="3"/>
    <x v="0"/>
  </r>
  <r>
    <s v="C0263"/>
    <n v="48"/>
    <x v="14"/>
    <m/>
    <m/>
    <s v="2024-06-05"/>
    <n v="0"/>
    <n v="3.18"/>
    <s v="January"/>
    <n v="1"/>
    <x v="0"/>
    <s v=""/>
    <x v="3"/>
    <x v="0"/>
  </r>
  <r>
    <s v="C0264"/>
    <n v="25"/>
    <x v="16"/>
    <m/>
    <m/>
    <s v="2025-02-17"/>
    <n v="0"/>
    <n v="4.34"/>
    <s v="January"/>
    <n v="1"/>
    <x v="0"/>
    <s v=""/>
    <x v="0"/>
    <x v="0"/>
  </r>
  <r>
    <s v="C0265"/>
    <n v="47"/>
    <x v="3"/>
    <m/>
    <m/>
    <s v="2025-03-26"/>
    <n v="0"/>
    <n v="3.95"/>
    <s v="January"/>
    <n v="1"/>
    <x v="0"/>
    <s v=""/>
    <x v="3"/>
    <x v="0"/>
  </r>
  <r>
    <s v="C0266"/>
    <n v="26"/>
    <x v="11"/>
    <n v="23.89"/>
    <s v="2025-01-28"/>
    <s v="2025-01-12"/>
    <n v="1"/>
    <n v="2.84"/>
    <s v="January"/>
    <n v="1"/>
    <x v="0"/>
    <n v="2025"/>
    <x v="1"/>
    <x v="1"/>
  </r>
  <r>
    <s v="C0267"/>
    <n v="47"/>
    <x v="9"/>
    <n v="29.9"/>
    <s v="2024-11-25"/>
    <s v="2024-11-14"/>
    <n v="1"/>
    <n v="5.32"/>
    <s v="November"/>
    <n v="11"/>
    <x v="6"/>
    <n v="2024"/>
    <x v="3"/>
    <x v="2"/>
  </r>
  <r>
    <s v="C0268"/>
    <n v="43"/>
    <x v="17"/>
    <m/>
    <m/>
    <s v="2024-08-29"/>
    <n v="0"/>
    <n v="5.25"/>
    <s v="January"/>
    <n v="1"/>
    <x v="0"/>
    <s v=""/>
    <x v="3"/>
    <x v="0"/>
  </r>
  <r>
    <s v="C0269"/>
    <n v="18"/>
    <x v="8"/>
    <n v="13.61"/>
    <s v="2025-05-21"/>
    <s v="2025-05-16"/>
    <n v="1"/>
    <n v="6.66"/>
    <s v="May"/>
    <n v="5"/>
    <x v="1"/>
    <n v="2025"/>
    <x v="0"/>
    <x v="1"/>
  </r>
  <r>
    <s v="C0270"/>
    <n v="20"/>
    <x v="8"/>
    <m/>
    <m/>
    <s v="2024-07-07"/>
    <n v="0"/>
    <n v="8.34"/>
    <s v="January"/>
    <n v="1"/>
    <x v="0"/>
    <s v=""/>
    <x v="0"/>
    <x v="0"/>
  </r>
  <r>
    <s v="C0271"/>
    <n v="45"/>
    <x v="8"/>
    <m/>
    <m/>
    <s v="2024-07-15"/>
    <n v="0"/>
    <n v="4.6500000000000004"/>
    <s v="January"/>
    <n v="1"/>
    <x v="0"/>
    <s v=""/>
    <x v="3"/>
    <x v="0"/>
  </r>
  <r>
    <s v="C0272"/>
    <n v="34"/>
    <x v="1"/>
    <n v="20.67"/>
    <s v="2025-05-04"/>
    <s v="2025-04-25"/>
    <n v="1"/>
    <n v="3.07"/>
    <s v="May"/>
    <n v="5"/>
    <x v="1"/>
    <n v="2025"/>
    <x v="1"/>
    <x v="1"/>
  </r>
  <r>
    <s v="C0273"/>
    <n v="34"/>
    <x v="9"/>
    <n v="13.9"/>
    <s v="2024-08-26"/>
    <s v="2024-07-28"/>
    <n v="1"/>
    <n v="9.16"/>
    <s v="August"/>
    <n v="8"/>
    <x v="11"/>
    <n v="2024"/>
    <x v="1"/>
    <x v="1"/>
  </r>
  <r>
    <s v="C0274"/>
    <n v="23"/>
    <x v="12"/>
    <n v="12.58"/>
    <s v="2025-02-03"/>
    <s v="2025-01-17"/>
    <n v="1"/>
    <n v="7.72"/>
    <s v="February"/>
    <n v="2"/>
    <x v="3"/>
    <n v="2025"/>
    <x v="0"/>
    <x v="1"/>
  </r>
  <r>
    <s v="C0275"/>
    <n v="19"/>
    <x v="10"/>
    <n v="24.71"/>
    <s v="2024-08-12"/>
    <s v="2024-08-10"/>
    <n v="1"/>
    <n v="4.21"/>
    <s v="August"/>
    <n v="8"/>
    <x v="11"/>
    <n v="2024"/>
    <x v="0"/>
    <x v="1"/>
  </r>
  <r>
    <s v="C0276"/>
    <n v="39"/>
    <x v="9"/>
    <m/>
    <m/>
    <s v="2024-10-17"/>
    <n v="0"/>
    <n v="8.08"/>
    <s v="January"/>
    <n v="1"/>
    <x v="0"/>
    <s v=""/>
    <x v="3"/>
    <x v="0"/>
  </r>
  <r>
    <s v="C0277"/>
    <n v="46"/>
    <x v="5"/>
    <m/>
    <m/>
    <s v="2024-07-05"/>
    <n v="0"/>
    <n v="5.12"/>
    <s v="January"/>
    <n v="1"/>
    <x v="0"/>
    <s v=""/>
    <x v="3"/>
    <x v="0"/>
  </r>
  <r>
    <s v="C0278"/>
    <n v="45"/>
    <x v="5"/>
    <m/>
    <m/>
    <s v="2024-07-27"/>
    <n v="0"/>
    <n v="8.01"/>
    <s v="January"/>
    <n v="1"/>
    <x v="0"/>
    <s v=""/>
    <x v="3"/>
    <x v="0"/>
  </r>
  <r>
    <s v="C0279"/>
    <n v="36"/>
    <x v="0"/>
    <m/>
    <m/>
    <s v="2024-08-22"/>
    <n v="0"/>
    <n v="8.99"/>
    <s v="January"/>
    <n v="1"/>
    <x v="0"/>
    <s v=""/>
    <x v="3"/>
    <x v="0"/>
  </r>
  <r>
    <s v="C0280"/>
    <n v="35"/>
    <x v="0"/>
    <n v="21.18"/>
    <s v="2025-03-28"/>
    <s v="2025-03-24"/>
    <n v="1"/>
    <n v="9.06"/>
    <s v="March"/>
    <n v="3"/>
    <x v="9"/>
    <n v="2025"/>
    <x v="1"/>
    <x v="1"/>
  </r>
  <r>
    <s v="C0281"/>
    <n v="47"/>
    <x v="0"/>
    <m/>
    <m/>
    <s v="2024-10-27"/>
    <n v="0"/>
    <n v="2.88"/>
    <s v="January"/>
    <n v="1"/>
    <x v="0"/>
    <s v=""/>
    <x v="3"/>
    <x v="0"/>
  </r>
  <r>
    <s v="C0282"/>
    <n v="33"/>
    <x v="6"/>
    <m/>
    <m/>
    <s v="2025-02-07"/>
    <n v="0"/>
    <n v="3.29"/>
    <s v="January"/>
    <n v="1"/>
    <x v="0"/>
    <s v=""/>
    <x v="1"/>
    <x v="0"/>
  </r>
  <r>
    <s v="C0283"/>
    <n v="26"/>
    <x v="17"/>
    <m/>
    <m/>
    <s v="2025-05-01"/>
    <n v="0"/>
    <n v="7.41"/>
    <s v="January"/>
    <n v="1"/>
    <x v="0"/>
    <s v=""/>
    <x v="1"/>
    <x v="0"/>
  </r>
  <r>
    <s v="C0284"/>
    <n v="29"/>
    <x v="7"/>
    <n v="12.31"/>
    <s v="2024-12-26"/>
    <s v="2024-11-30"/>
    <n v="1"/>
    <n v="2.06"/>
    <s v="December"/>
    <n v="12"/>
    <x v="8"/>
    <n v="2024"/>
    <x v="1"/>
    <x v="1"/>
  </r>
  <r>
    <s v="C0285"/>
    <n v="54"/>
    <x v="12"/>
    <n v="20.29"/>
    <s v="2025-03-17"/>
    <s v="2025-02-25"/>
    <n v="1"/>
    <n v="7.14"/>
    <s v="March"/>
    <n v="3"/>
    <x v="9"/>
    <n v="2025"/>
    <x v="2"/>
    <x v="1"/>
  </r>
  <r>
    <s v="C0286"/>
    <n v="42"/>
    <x v="18"/>
    <n v="26.29"/>
    <s v="2024-10-18"/>
    <s v="2024-09-21"/>
    <n v="1"/>
    <n v="8.69"/>
    <s v="October"/>
    <n v="10"/>
    <x v="10"/>
    <n v="2024"/>
    <x v="3"/>
    <x v="2"/>
  </r>
  <r>
    <s v="C0287"/>
    <n v="22"/>
    <x v="5"/>
    <n v="18.71"/>
    <s v="2025-04-28"/>
    <s v="2025-04-28"/>
    <n v="1"/>
    <n v="5.98"/>
    <s v="April"/>
    <n v="4"/>
    <x v="4"/>
    <n v="2025"/>
    <x v="0"/>
    <x v="1"/>
  </r>
  <r>
    <s v="C0288"/>
    <n v="26"/>
    <x v="15"/>
    <m/>
    <m/>
    <s v="2025-02-18"/>
    <n v="0"/>
    <n v="9.67"/>
    <s v="January"/>
    <n v="1"/>
    <x v="0"/>
    <s v=""/>
    <x v="1"/>
    <x v="0"/>
  </r>
  <r>
    <s v="C0289"/>
    <n v="27"/>
    <x v="16"/>
    <n v="15.24"/>
    <s v="2024-11-06"/>
    <s v="2024-11-05"/>
    <n v="1"/>
    <n v="8.41"/>
    <s v="November"/>
    <n v="11"/>
    <x v="6"/>
    <n v="2024"/>
    <x v="1"/>
    <x v="1"/>
  </r>
  <r>
    <s v="C0290"/>
    <n v="30"/>
    <x v="5"/>
    <n v="12.17"/>
    <s v="2024-09-24"/>
    <s v="2024-08-28"/>
    <n v="1"/>
    <n v="9.16"/>
    <s v="September"/>
    <n v="9"/>
    <x v="2"/>
    <n v="2024"/>
    <x v="1"/>
    <x v="1"/>
  </r>
  <r>
    <s v="C0291"/>
    <n v="28"/>
    <x v="8"/>
    <n v="17.03"/>
    <s v="2025-02-09"/>
    <s v="2025-01-25"/>
    <n v="1"/>
    <n v="8.99"/>
    <s v="February"/>
    <n v="2"/>
    <x v="3"/>
    <n v="2025"/>
    <x v="1"/>
    <x v="1"/>
  </r>
  <r>
    <s v="C0292"/>
    <n v="48"/>
    <x v="0"/>
    <m/>
    <m/>
    <s v="2024-08-14"/>
    <n v="0"/>
    <n v="9.1199999999999992"/>
    <s v="January"/>
    <n v="1"/>
    <x v="0"/>
    <s v=""/>
    <x v="3"/>
    <x v="0"/>
  </r>
  <r>
    <s v="C0293"/>
    <n v="21"/>
    <x v="16"/>
    <n v="21.79"/>
    <s v="2025-03-08"/>
    <s v="2025-03-07"/>
    <n v="1"/>
    <n v="8.17"/>
    <s v="March"/>
    <n v="3"/>
    <x v="9"/>
    <n v="2025"/>
    <x v="0"/>
    <x v="1"/>
  </r>
  <r>
    <s v="C0294"/>
    <n v="30"/>
    <x v="14"/>
    <m/>
    <m/>
    <s v="2024-12-15"/>
    <n v="0"/>
    <n v="5.08"/>
    <s v="January"/>
    <n v="1"/>
    <x v="0"/>
    <s v=""/>
    <x v="1"/>
    <x v="0"/>
  </r>
  <r>
    <s v="C0295"/>
    <n v="43"/>
    <x v="10"/>
    <n v="25.67"/>
    <s v="2025-02-22"/>
    <s v="2025-01-28"/>
    <n v="1"/>
    <n v="6.4"/>
    <s v="February"/>
    <n v="2"/>
    <x v="3"/>
    <n v="2025"/>
    <x v="3"/>
    <x v="2"/>
  </r>
  <r>
    <s v="C0296"/>
    <n v="22"/>
    <x v="6"/>
    <m/>
    <m/>
    <s v="2024-09-14"/>
    <n v="0"/>
    <n v="7.25"/>
    <s v="January"/>
    <n v="1"/>
    <x v="0"/>
    <s v=""/>
    <x v="0"/>
    <x v="0"/>
  </r>
  <r>
    <s v="C0297"/>
    <n v="24"/>
    <x v="17"/>
    <m/>
    <m/>
    <s v="2024-10-06"/>
    <n v="0"/>
    <n v="8.4600000000000009"/>
    <s v="January"/>
    <n v="1"/>
    <x v="0"/>
    <s v=""/>
    <x v="0"/>
    <x v="0"/>
  </r>
  <r>
    <s v="C0298"/>
    <n v="48"/>
    <x v="13"/>
    <m/>
    <m/>
    <s v="2024-12-01"/>
    <n v="0"/>
    <n v="3.82"/>
    <s v="January"/>
    <n v="1"/>
    <x v="0"/>
    <s v=""/>
    <x v="3"/>
    <x v="0"/>
  </r>
  <r>
    <s v="C0299"/>
    <n v="19"/>
    <x v="1"/>
    <m/>
    <m/>
    <s v="2024-09-25"/>
    <n v="0"/>
    <n v="4.3099999999999996"/>
    <s v="January"/>
    <n v="1"/>
    <x v="0"/>
    <s v=""/>
    <x v="0"/>
    <x v="0"/>
  </r>
  <r>
    <s v="C0300"/>
    <n v="25"/>
    <x v="0"/>
    <m/>
    <m/>
    <s v="2024-10-15"/>
    <n v="0"/>
    <n v="8.98"/>
    <s v="January"/>
    <n v="1"/>
    <x v="0"/>
    <s v=""/>
    <x v="0"/>
    <x v="0"/>
  </r>
  <r>
    <s v="C0301"/>
    <n v="20"/>
    <x v="6"/>
    <m/>
    <m/>
    <s v="2025-02-14"/>
    <n v="0"/>
    <n v="3.38"/>
    <s v="January"/>
    <n v="1"/>
    <x v="0"/>
    <s v=""/>
    <x v="0"/>
    <x v="0"/>
  </r>
  <r>
    <s v="C0302"/>
    <n v="40"/>
    <x v="3"/>
    <m/>
    <m/>
    <s v="2024-11-02"/>
    <n v="0"/>
    <n v="2.0099999999999998"/>
    <s v="January"/>
    <n v="1"/>
    <x v="0"/>
    <s v=""/>
    <x v="3"/>
    <x v="0"/>
  </r>
  <r>
    <s v="C0303"/>
    <n v="20"/>
    <x v="19"/>
    <m/>
    <m/>
    <s v="2024-11-01"/>
    <n v="0"/>
    <n v="4.75"/>
    <s v="January"/>
    <n v="1"/>
    <x v="0"/>
    <s v=""/>
    <x v="0"/>
    <x v="0"/>
  </r>
  <r>
    <s v="C0304"/>
    <n v="19"/>
    <x v="7"/>
    <n v="9.81"/>
    <s v="2024-08-12"/>
    <s v="2024-07-24"/>
    <n v="1"/>
    <n v="3.84"/>
    <s v="August"/>
    <n v="8"/>
    <x v="11"/>
    <n v="2024"/>
    <x v="0"/>
    <x v="0"/>
  </r>
  <r>
    <s v="C0305"/>
    <n v="22"/>
    <x v="12"/>
    <n v="15.07"/>
    <s v="2024-06-15"/>
    <s v="2024-06-12"/>
    <n v="1"/>
    <n v="8.1300000000000008"/>
    <s v="June"/>
    <n v="6"/>
    <x v="7"/>
    <n v="2024"/>
    <x v="0"/>
    <x v="1"/>
  </r>
  <r>
    <s v="C0306"/>
    <n v="27"/>
    <x v="18"/>
    <n v="11.58"/>
    <s v="2025-03-09"/>
    <s v="2025-02-27"/>
    <n v="1"/>
    <n v="9.35"/>
    <s v="March"/>
    <n v="3"/>
    <x v="9"/>
    <n v="2025"/>
    <x v="1"/>
    <x v="1"/>
  </r>
  <r>
    <s v="C0307"/>
    <n v="31"/>
    <x v="8"/>
    <m/>
    <m/>
    <s v="2025-05-09"/>
    <n v="0"/>
    <n v="7.55"/>
    <s v="January"/>
    <n v="1"/>
    <x v="0"/>
    <s v=""/>
    <x v="1"/>
    <x v="0"/>
  </r>
  <r>
    <s v="C0308"/>
    <n v="38"/>
    <x v="9"/>
    <m/>
    <m/>
    <s v="2024-12-28"/>
    <n v="0"/>
    <n v="7.26"/>
    <s v="January"/>
    <n v="1"/>
    <x v="0"/>
    <s v=""/>
    <x v="3"/>
    <x v="0"/>
  </r>
  <r>
    <s v="C0309"/>
    <n v="29"/>
    <x v="2"/>
    <m/>
    <m/>
    <s v="2025-01-17"/>
    <n v="0"/>
    <n v="9.1999999999999993"/>
    <s v="January"/>
    <n v="1"/>
    <x v="0"/>
    <s v=""/>
    <x v="1"/>
    <x v="0"/>
  </r>
  <r>
    <s v="C0310"/>
    <n v="54"/>
    <x v="10"/>
    <n v="33.14"/>
    <s v="2025-01-03"/>
    <s v="2024-12-14"/>
    <n v="1"/>
    <n v="8.6199999999999992"/>
    <s v="January"/>
    <n v="1"/>
    <x v="0"/>
    <n v="2025"/>
    <x v="2"/>
    <x v="2"/>
  </r>
  <r>
    <s v="C0311"/>
    <n v="28"/>
    <x v="18"/>
    <m/>
    <m/>
    <s v="2025-02-13"/>
    <n v="0"/>
    <n v="9.0399999999999991"/>
    <s v="January"/>
    <n v="1"/>
    <x v="0"/>
    <s v=""/>
    <x v="1"/>
    <x v="0"/>
  </r>
  <r>
    <s v="C0312"/>
    <n v="51"/>
    <x v="3"/>
    <m/>
    <m/>
    <s v="2024-06-28"/>
    <n v="0"/>
    <n v="2.98"/>
    <s v="January"/>
    <n v="1"/>
    <x v="0"/>
    <s v=""/>
    <x v="2"/>
    <x v="0"/>
  </r>
  <r>
    <s v="C0313"/>
    <n v="26"/>
    <x v="15"/>
    <m/>
    <m/>
    <s v="2025-04-03"/>
    <n v="0"/>
    <n v="2.61"/>
    <s v="January"/>
    <n v="1"/>
    <x v="0"/>
    <s v=""/>
    <x v="1"/>
    <x v="0"/>
  </r>
  <r>
    <s v="C0314"/>
    <n v="47"/>
    <x v="5"/>
    <m/>
    <m/>
    <s v="2024-09-03"/>
    <n v="0"/>
    <n v="8.27"/>
    <s v="January"/>
    <n v="1"/>
    <x v="0"/>
    <s v=""/>
    <x v="3"/>
    <x v="0"/>
  </r>
  <r>
    <s v="C0315"/>
    <n v="47"/>
    <x v="8"/>
    <n v="12.23"/>
    <s v="2024-12-30"/>
    <s v="2024-12-14"/>
    <n v="1"/>
    <n v="6.1"/>
    <s v="December"/>
    <n v="12"/>
    <x v="8"/>
    <n v="2024"/>
    <x v="3"/>
    <x v="1"/>
  </r>
  <r>
    <s v="C0316"/>
    <n v="44"/>
    <x v="12"/>
    <n v="18.8"/>
    <s v="2024-08-27"/>
    <s v="2024-08-19"/>
    <n v="1"/>
    <n v="6.83"/>
    <s v="August"/>
    <n v="8"/>
    <x v="11"/>
    <n v="2024"/>
    <x v="3"/>
    <x v="1"/>
  </r>
  <r>
    <s v="C0317"/>
    <n v="23"/>
    <x v="0"/>
    <n v="22.42"/>
    <s v="2025-05-20"/>
    <s v="2025-05-20"/>
    <n v="1"/>
    <n v="2.2999999999999998"/>
    <s v="May"/>
    <n v="5"/>
    <x v="1"/>
    <n v="2025"/>
    <x v="0"/>
    <x v="1"/>
  </r>
  <r>
    <s v="C0318"/>
    <n v="41"/>
    <x v="4"/>
    <m/>
    <m/>
    <s v="2024-07-08"/>
    <n v="0"/>
    <n v="6.95"/>
    <s v="January"/>
    <n v="1"/>
    <x v="0"/>
    <s v=""/>
    <x v="3"/>
    <x v="0"/>
  </r>
  <r>
    <s v="C0319"/>
    <n v="30"/>
    <x v="15"/>
    <n v="22.78"/>
    <s v="2025-02-23"/>
    <s v="2025-02-14"/>
    <n v="1"/>
    <n v="8.84"/>
    <s v="February"/>
    <n v="2"/>
    <x v="3"/>
    <n v="2025"/>
    <x v="1"/>
    <x v="1"/>
  </r>
  <r>
    <s v="C0320"/>
    <n v="45"/>
    <x v="2"/>
    <n v="15.36"/>
    <s v="2024-10-16"/>
    <s v="2024-10-01"/>
    <n v="1"/>
    <n v="9.52"/>
    <s v="October"/>
    <n v="10"/>
    <x v="10"/>
    <n v="2024"/>
    <x v="3"/>
    <x v="1"/>
  </r>
  <r>
    <s v="C0321"/>
    <n v="22"/>
    <x v="9"/>
    <m/>
    <m/>
    <s v="2024-11-07"/>
    <n v="0"/>
    <n v="4.07"/>
    <s v="January"/>
    <n v="1"/>
    <x v="0"/>
    <s v=""/>
    <x v="0"/>
    <x v="0"/>
  </r>
  <r>
    <s v="C0322"/>
    <n v="53"/>
    <x v="18"/>
    <n v="30.64"/>
    <s v="2025-05-23"/>
    <s v="2025-05-09"/>
    <n v="1"/>
    <n v="3.96"/>
    <s v="May"/>
    <n v="5"/>
    <x v="1"/>
    <n v="2025"/>
    <x v="2"/>
    <x v="2"/>
  </r>
  <r>
    <s v="C0323"/>
    <n v="48"/>
    <x v="8"/>
    <m/>
    <m/>
    <s v="2025-01-18"/>
    <n v="0"/>
    <n v="7.1"/>
    <s v="January"/>
    <n v="1"/>
    <x v="0"/>
    <s v=""/>
    <x v="3"/>
    <x v="0"/>
  </r>
  <r>
    <s v="C0324"/>
    <n v="21"/>
    <x v="11"/>
    <m/>
    <m/>
    <s v="2025-04-18"/>
    <n v="0"/>
    <n v="8.5399999999999991"/>
    <s v="January"/>
    <n v="1"/>
    <x v="0"/>
    <s v=""/>
    <x v="0"/>
    <x v="0"/>
  </r>
  <r>
    <s v="C0325"/>
    <n v="23"/>
    <x v="18"/>
    <n v="15.6"/>
    <s v="2024-10-17"/>
    <s v="2024-09-29"/>
    <n v="1"/>
    <n v="9.7100000000000009"/>
    <s v="October"/>
    <n v="10"/>
    <x v="10"/>
    <n v="2024"/>
    <x v="0"/>
    <x v="1"/>
  </r>
  <r>
    <s v="C0326"/>
    <n v="47"/>
    <x v="15"/>
    <m/>
    <m/>
    <s v="2024-06-26"/>
    <n v="0"/>
    <n v="4.0599999999999996"/>
    <s v="January"/>
    <n v="1"/>
    <x v="0"/>
    <s v=""/>
    <x v="3"/>
    <x v="0"/>
  </r>
  <r>
    <s v="C0327"/>
    <n v="54"/>
    <x v="17"/>
    <n v="34.9"/>
    <s v="2024-10-30"/>
    <s v="2024-10-24"/>
    <n v="1"/>
    <n v="3.34"/>
    <s v="October"/>
    <n v="10"/>
    <x v="10"/>
    <n v="2024"/>
    <x v="2"/>
    <x v="2"/>
  </r>
  <r>
    <s v="C0328"/>
    <n v="42"/>
    <x v="1"/>
    <n v="27.72"/>
    <s v="2024-08-07"/>
    <s v="2024-07-26"/>
    <n v="1"/>
    <n v="9.23"/>
    <s v="August"/>
    <n v="8"/>
    <x v="11"/>
    <n v="2024"/>
    <x v="3"/>
    <x v="2"/>
  </r>
  <r>
    <s v="C0329"/>
    <n v="48"/>
    <x v="14"/>
    <m/>
    <m/>
    <s v="2025-05-14"/>
    <n v="0"/>
    <n v="5.39"/>
    <s v="January"/>
    <n v="1"/>
    <x v="0"/>
    <s v=""/>
    <x v="3"/>
    <x v="0"/>
  </r>
  <r>
    <s v="C0330"/>
    <n v="39"/>
    <x v="15"/>
    <n v="19.59"/>
    <s v="2025-05-15"/>
    <s v="2025-04-28"/>
    <n v="1"/>
    <n v="2.5"/>
    <s v="May"/>
    <n v="5"/>
    <x v="1"/>
    <n v="2025"/>
    <x v="3"/>
    <x v="1"/>
  </r>
  <r>
    <s v="C0331"/>
    <n v="52"/>
    <x v="12"/>
    <n v="10.86"/>
    <s v="2024-11-25"/>
    <s v="2024-11-12"/>
    <n v="1"/>
    <n v="9.0399999999999991"/>
    <s v="November"/>
    <n v="11"/>
    <x v="6"/>
    <n v="2024"/>
    <x v="2"/>
    <x v="1"/>
  </r>
  <r>
    <s v="C0332"/>
    <n v="45"/>
    <x v="13"/>
    <m/>
    <m/>
    <s v="2024-06-24"/>
    <n v="0"/>
    <n v="7.68"/>
    <s v="January"/>
    <n v="1"/>
    <x v="0"/>
    <s v=""/>
    <x v="3"/>
    <x v="0"/>
  </r>
  <r>
    <s v="C0333"/>
    <n v="42"/>
    <x v="11"/>
    <n v="13.59"/>
    <s v="2024-07-11"/>
    <s v="2024-07-06"/>
    <n v="1"/>
    <n v="5.35"/>
    <s v="July"/>
    <n v="7"/>
    <x v="5"/>
    <n v="2024"/>
    <x v="3"/>
    <x v="1"/>
  </r>
  <r>
    <s v="C0334"/>
    <n v="50"/>
    <x v="1"/>
    <n v="38.99"/>
    <s v="2025-02-05"/>
    <s v="2025-02-04"/>
    <n v="1"/>
    <n v="6.49"/>
    <s v="February"/>
    <n v="2"/>
    <x v="3"/>
    <n v="2025"/>
    <x v="3"/>
    <x v="2"/>
  </r>
  <r>
    <s v="C0335"/>
    <n v="32"/>
    <x v="11"/>
    <m/>
    <m/>
    <s v="2025-05-07"/>
    <n v="0"/>
    <n v="6.65"/>
    <s v="January"/>
    <n v="1"/>
    <x v="0"/>
    <s v=""/>
    <x v="1"/>
    <x v="0"/>
  </r>
  <r>
    <s v="C0336"/>
    <n v="18"/>
    <x v="9"/>
    <n v="18.05"/>
    <s v="2024-08-24"/>
    <s v="2024-07-30"/>
    <n v="1"/>
    <n v="8.69"/>
    <s v="August"/>
    <n v="8"/>
    <x v="11"/>
    <n v="2024"/>
    <x v="0"/>
    <x v="1"/>
  </r>
  <r>
    <s v="C0337"/>
    <n v="38"/>
    <x v="10"/>
    <m/>
    <m/>
    <s v="2025-02-13"/>
    <n v="0"/>
    <n v="9.27"/>
    <s v="January"/>
    <n v="1"/>
    <x v="0"/>
    <s v=""/>
    <x v="3"/>
    <x v="0"/>
  </r>
  <r>
    <s v="C0338"/>
    <n v="18"/>
    <x v="10"/>
    <m/>
    <m/>
    <s v="2025-05-07"/>
    <n v="0"/>
    <n v="7.04"/>
    <s v="January"/>
    <n v="1"/>
    <x v="0"/>
    <s v=""/>
    <x v="0"/>
    <x v="0"/>
  </r>
  <r>
    <s v="C0339"/>
    <n v="43"/>
    <x v="1"/>
    <n v="32.799999999999997"/>
    <s v="2025-03-09"/>
    <s v="2025-03-09"/>
    <n v="1"/>
    <n v="2.88"/>
    <s v="March"/>
    <n v="3"/>
    <x v="9"/>
    <n v="2025"/>
    <x v="3"/>
    <x v="2"/>
  </r>
  <r>
    <s v="C0340"/>
    <n v="33"/>
    <x v="6"/>
    <m/>
    <m/>
    <s v="2025-01-22"/>
    <n v="0"/>
    <n v="7.16"/>
    <s v="January"/>
    <n v="1"/>
    <x v="0"/>
    <s v=""/>
    <x v="1"/>
    <x v="0"/>
  </r>
  <r>
    <s v="C0341"/>
    <n v="47"/>
    <x v="18"/>
    <n v="30.75"/>
    <s v="2024-07-13"/>
    <s v="2024-06-27"/>
    <n v="1"/>
    <n v="2.5099999999999998"/>
    <s v="July"/>
    <n v="7"/>
    <x v="5"/>
    <n v="2024"/>
    <x v="3"/>
    <x v="2"/>
  </r>
  <r>
    <s v="C0342"/>
    <n v="52"/>
    <x v="17"/>
    <n v="30.04"/>
    <s v="2024-11-27"/>
    <s v="2024-11-05"/>
    <n v="1"/>
    <n v="5.34"/>
    <s v="November"/>
    <n v="11"/>
    <x v="6"/>
    <n v="2024"/>
    <x v="2"/>
    <x v="2"/>
  </r>
  <r>
    <s v="C0343"/>
    <n v="45"/>
    <x v="8"/>
    <n v="24.36"/>
    <s v="2025-01-11"/>
    <s v="2025-01-11"/>
    <n v="1"/>
    <n v="2.04"/>
    <s v="January"/>
    <n v="1"/>
    <x v="0"/>
    <n v="2025"/>
    <x v="3"/>
    <x v="1"/>
  </r>
  <r>
    <s v="C0344"/>
    <n v="51"/>
    <x v="6"/>
    <m/>
    <m/>
    <s v="2024-11-23"/>
    <n v="0"/>
    <n v="3.15"/>
    <s v="January"/>
    <n v="1"/>
    <x v="0"/>
    <s v=""/>
    <x v="2"/>
    <x v="0"/>
  </r>
  <r>
    <s v="C0345"/>
    <n v="19"/>
    <x v="5"/>
    <n v="13.98"/>
    <s v="2025-01-10"/>
    <s v="2024-12-12"/>
    <n v="1"/>
    <n v="2.23"/>
    <s v="January"/>
    <n v="1"/>
    <x v="0"/>
    <n v="2025"/>
    <x v="0"/>
    <x v="1"/>
  </r>
  <r>
    <s v="C0346"/>
    <n v="32"/>
    <x v="11"/>
    <m/>
    <m/>
    <s v="2024-06-27"/>
    <n v="0"/>
    <n v="5.22"/>
    <s v="January"/>
    <n v="1"/>
    <x v="0"/>
    <s v=""/>
    <x v="1"/>
    <x v="0"/>
  </r>
  <r>
    <s v="C0347"/>
    <n v="27"/>
    <x v="10"/>
    <n v="19.670000000000002"/>
    <s v="2025-02-26"/>
    <s v="2025-02-07"/>
    <n v="1"/>
    <n v="8.5399999999999991"/>
    <s v="February"/>
    <n v="2"/>
    <x v="3"/>
    <n v="2025"/>
    <x v="1"/>
    <x v="1"/>
  </r>
  <r>
    <s v="C0348"/>
    <n v="31"/>
    <x v="7"/>
    <m/>
    <m/>
    <s v="2024-12-03"/>
    <n v="0"/>
    <n v="2.1"/>
    <s v="January"/>
    <n v="1"/>
    <x v="0"/>
    <s v=""/>
    <x v="1"/>
    <x v="0"/>
  </r>
  <r>
    <s v="C0349"/>
    <n v="46"/>
    <x v="13"/>
    <n v="36.590000000000003"/>
    <s v="2025-04-30"/>
    <s v="2025-04-11"/>
    <n v="1"/>
    <n v="6.25"/>
    <s v="April"/>
    <n v="4"/>
    <x v="4"/>
    <n v="2025"/>
    <x v="3"/>
    <x v="2"/>
  </r>
  <r>
    <s v="C0350"/>
    <n v="32"/>
    <x v="16"/>
    <m/>
    <m/>
    <s v="2025-04-16"/>
    <n v="0"/>
    <n v="9.16"/>
    <s v="January"/>
    <n v="1"/>
    <x v="0"/>
    <s v=""/>
    <x v="1"/>
    <x v="0"/>
  </r>
  <r>
    <s v="C0351"/>
    <n v="37"/>
    <x v="6"/>
    <n v="8.99"/>
    <s v="2025-05-22"/>
    <s v="2025-05-11"/>
    <n v="1"/>
    <n v="8.09"/>
    <s v="May"/>
    <n v="5"/>
    <x v="1"/>
    <n v="2025"/>
    <x v="3"/>
    <x v="0"/>
  </r>
  <r>
    <s v="C0352"/>
    <n v="19"/>
    <x v="15"/>
    <m/>
    <m/>
    <s v="2024-11-14"/>
    <n v="0"/>
    <n v="3.14"/>
    <s v="January"/>
    <n v="1"/>
    <x v="0"/>
    <s v=""/>
    <x v="0"/>
    <x v="0"/>
  </r>
  <r>
    <s v="C0353"/>
    <n v="40"/>
    <x v="6"/>
    <m/>
    <m/>
    <s v="2024-07-28"/>
    <n v="0"/>
    <n v="4.5599999999999996"/>
    <s v="January"/>
    <n v="1"/>
    <x v="0"/>
    <s v=""/>
    <x v="3"/>
    <x v="0"/>
  </r>
  <r>
    <s v="C0354"/>
    <n v="53"/>
    <x v="14"/>
    <n v="16.54"/>
    <s v="2024-06-21"/>
    <s v="2024-06-03"/>
    <n v="1"/>
    <n v="7.84"/>
    <s v="June"/>
    <n v="6"/>
    <x v="7"/>
    <n v="2024"/>
    <x v="2"/>
    <x v="1"/>
  </r>
  <r>
    <s v="C0355"/>
    <n v="35"/>
    <x v="15"/>
    <n v="16.149999999999999"/>
    <s v="2024-09-28"/>
    <s v="2024-08-31"/>
    <n v="1"/>
    <n v="8.1"/>
    <s v="September"/>
    <n v="9"/>
    <x v="2"/>
    <n v="2024"/>
    <x v="1"/>
    <x v="1"/>
  </r>
  <r>
    <s v="C0356"/>
    <n v="32"/>
    <x v="0"/>
    <m/>
    <m/>
    <s v="2024-06-11"/>
    <n v="0"/>
    <n v="3.84"/>
    <s v="January"/>
    <n v="1"/>
    <x v="0"/>
    <s v=""/>
    <x v="1"/>
    <x v="0"/>
  </r>
  <r>
    <s v="C0357"/>
    <n v="48"/>
    <x v="8"/>
    <n v="20.46"/>
    <s v="2024-09-20"/>
    <s v="2024-08-30"/>
    <n v="1"/>
    <n v="6.97"/>
    <s v="September"/>
    <n v="9"/>
    <x v="2"/>
    <n v="2024"/>
    <x v="3"/>
    <x v="1"/>
  </r>
  <r>
    <s v="C0358"/>
    <n v="39"/>
    <x v="11"/>
    <m/>
    <m/>
    <s v="2025-02-23"/>
    <n v="0"/>
    <n v="7.94"/>
    <s v="January"/>
    <n v="1"/>
    <x v="0"/>
    <s v=""/>
    <x v="3"/>
    <x v="0"/>
  </r>
  <r>
    <s v="C0359"/>
    <n v="34"/>
    <x v="1"/>
    <m/>
    <m/>
    <s v="2025-03-27"/>
    <n v="0"/>
    <n v="8.6199999999999992"/>
    <s v="January"/>
    <n v="1"/>
    <x v="0"/>
    <s v=""/>
    <x v="1"/>
    <x v="0"/>
  </r>
  <r>
    <s v="C0360"/>
    <n v="46"/>
    <x v="15"/>
    <n v="17.850000000000001"/>
    <s v="2024-11-05"/>
    <s v="2024-10-29"/>
    <n v="1"/>
    <n v="3.93"/>
    <s v="November"/>
    <n v="11"/>
    <x v="6"/>
    <n v="2024"/>
    <x v="3"/>
    <x v="1"/>
  </r>
  <r>
    <s v="C0361"/>
    <n v="36"/>
    <x v="0"/>
    <n v="13.14"/>
    <s v="2024-07-16"/>
    <s v="2024-07-02"/>
    <n v="1"/>
    <n v="3.42"/>
    <s v="July"/>
    <n v="7"/>
    <x v="5"/>
    <n v="2024"/>
    <x v="3"/>
    <x v="1"/>
  </r>
  <r>
    <s v="C0362"/>
    <n v="35"/>
    <x v="7"/>
    <n v="14.7"/>
    <s v="2025-05-09"/>
    <s v="2025-05-06"/>
    <n v="1"/>
    <n v="3.02"/>
    <s v="May"/>
    <n v="5"/>
    <x v="1"/>
    <n v="2025"/>
    <x v="1"/>
    <x v="1"/>
  </r>
  <r>
    <s v="C0363"/>
    <n v="53"/>
    <x v="2"/>
    <m/>
    <m/>
    <s v="2024-07-14"/>
    <n v="0"/>
    <n v="3.92"/>
    <s v="January"/>
    <n v="1"/>
    <x v="0"/>
    <s v=""/>
    <x v="2"/>
    <x v="0"/>
  </r>
  <r>
    <s v="C0364"/>
    <n v="20"/>
    <x v="8"/>
    <n v="18.28"/>
    <s v="2025-05-29"/>
    <s v="2025-05-29"/>
    <n v="1"/>
    <n v="9.98"/>
    <s v="May"/>
    <n v="5"/>
    <x v="1"/>
    <n v="2025"/>
    <x v="0"/>
    <x v="1"/>
  </r>
  <r>
    <s v="C0365"/>
    <n v="52"/>
    <x v="17"/>
    <n v="29.29"/>
    <s v="2024-06-17"/>
    <s v="2024-06-15"/>
    <n v="1"/>
    <n v="3.74"/>
    <s v="June"/>
    <n v="6"/>
    <x v="7"/>
    <n v="2024"/>
    <x v="2"/>
    <x v="2"/>
  </r>
  <r>
    <s v="C0366"/>
    <n v="54"/>
    <x v="8"/>
    <n v="11.71"/>
    <s v="2025-05-09"/>
    <s v="2025-05-08"/>
    <n v="1"/>
    <n v="5.14"/>
    <s v="May"/>
    <n v="5"/>
    <x v="1"/>
    <n v="2025"/>
    <x v="2"/>
    <x v="1"/>
  </r>
  <r>
    <s v="C0367"/>
    <n v="26"/>
    <x v="8"/>
    <n v="9.39"/>
    <s v="2024-09-27"/>
    <s v="2024-09-09"/>
    <n v="1"/>
    <n v="5.72"/>
    <s v="September"/>
    <n v="9"/>
    <x v="2"/>
    <n v="2024"/>
    <x v="1"/>
    <x v="0"/>
  </r>
  <r>
    <s v="C0368"/>
    <n v="27"/>
    <x v="11"/>
    <n v="22.23"/>
    <s v="2025-04-16"/>
    <s v="2025-03-26"/>
    <n v="1"/>
    <n v="2.97"/>
    <s v="April"/>
    <n v="4"/>
    <x v="4"/>
    <n v="2025"/>
    <x v="1"/>
    <x v="1"/>
  </r>
  <r>
    <s v="C0369"/>
    <n v="26"/>
    <x v="11"/>
    <n v="9.4700000000000006"/>
    <s v="2025-01-06"/>
    <s v="2024-12-08"/>
    <n v="1"/>
    <n v="3.99"/>
    <s v="January"/>
    <n v="1"/>
    <x v="0"/>
    <n v="2025"/>
    <x v="1"/>
    <x v="0"/>
  </r>
  <r>
    <s v="C0370"/>
    <n v="26"/>
    <x v="11"/>
    <n v="22.91"/>
    <s v="2025-03-04"/>
    <s v="2025-03-03"/>
    <n v="1"/>
    <n v="5.15"/>
    <s v="March"/>
    <n v="3"/>
    <x v="9"/>
    <n v="2025"/>
    <x v="1"/>
    <x v="1"/>
  </r>
  <r>
    <s v="C0371"/>
    <n v="44"/>
    <x v="18"/>
    <m/>
    <m/>
    <s v="2024-10-24"/>
    <n v="0"/>
    <n v="4.07"/>
    <s v="January"/>
    <n v="1"/>
    <x v="0"/>
    <s v=""/>
    <x v="3"/>
    <x v="0"/>
  </r>
  <r>
    <s v="C0372"/>
    <n v="46"/>
    <x v="18"/>
    <n v="38.200000000000003"/>
    <s v="2024-07-21"/>
    <s v="2024-07-12"/>
    <n v="1"/>
    <n v="4.95"/>
    <s v="July"/>
    <n v="7"/>
    <x v="5"/>
    <n v="2024"/>
    <x v="3"/>
    <x v="2"/>
  </r>
  <r>
    <s v="C0373"/>
    <n v="53"/>
    <x v="10"/>
    <n v="26.27"/>
    <s v="2025-02-28"/>
    <s v="2025-02-28"/>
    <n v="1"/>
    <n v="3.32"/>
    <s v="February"/>
    <n v="2"/>
    <x v="3"/>
    <n v="2025"/>
    <x v="2"/>
    <x v="2"/>
  </r>
  <r>
    <s v="C0374"/>
    <n v="31"/>
    <x v="8"/>
    <m/>
    <m/>
    <s v="2025-02-18"/>
    <n v="0"/>
    <n v="5.57"/>
    <s v="January"/>
    <n v="1"/>
    <x v="0"/>
    <s v=""/>
    <x v="1"/>
    <x v="0"/>
  </r>
  <r>
    <s v="C0375"/>
    <n v="31"/>
    <x v="16"/>
    <m/>
    <m/>
    <s v="2024-07-03"/>
    <n v="0"/>
    <n v="6.62"/>
    <s v="January"/>
    <n v="1"/>
    <x v="0"/>
    <s v=""/>
    <x v="1"/>
    <x v="0"/>
  </r>
  <r>
    <s v="C0376"/>
    <n v="40"/>
    <x v="19"/>
    <m/>
    <m/>
    <s v="2024-12-13"/>
    <n v="0"/>
    <n v="8.4"/>
    <s v="January"/>
    <n v="1"/>
    <x v="0"/>
    <s v=""/>
    <x v="3"/>
    <x v="0"/>
  </r>
  <r>
    <s v="C0377"/>
    <n v="42"/>
    <x v="15"/>
    <n v="18.940000000000001"/>
    <s v="2024-08-20"/>
    <s v="2024-08-03"/>
    <n v="1"/>
    <n v="8.65"/>
    <s v="August"/>
    <n v="8"/>
    <x v="11"/>
    <n v="2024"/>
    <x v="3"/>
    <x v="1"/>
  </r>
  <r>
    <s v="C0378"/>
    <n v="39"/>
    <x v="5"/>
    <n v="10.210000000000001"/>
    <s v="2024-06-26"/>
    <s v="2024-06-03"/>
    <n v="1"/>
    <n v="4.79"/>
    <s v="June"/>
    <n v="6"/>
    <x v="7"/>
    <n v="2024"/>
    <x v="3"/>
    <x v="1"/>
  </r>
  <r>
    <s v="C0379"/>
    <n v="45"/>
    <x v="18"/>
    <n v="28.13"/>
    <s v="2024-12-18"/>
    <s v="2024-11-19"/>
    <n v="1"/>
    <n v="5.79"/>
    <s v="December"/>
    <n v="12"/>
    <x v="8"/>
    <n v="2024"/>
    <x v="3"/>
    <x v="2"/>
  </r>
  <r>
    <s v="C0380"/>
    <n v="28"/>
    <x v="16"/>
    <m/>
    <m/>
    <s v="2025-04-15"/>
    <n v="0"/>
    <n v="3.09"/>
    <s v="January"/>
    <n v="1"/>
    <x v="0"/>
    <s v=""/>
    <x v="1"/>
    <x v="0"/>
  </r>
  <r>
    <s v="C0381"/>
    <n v="42"/>
    <x v="14"/>
    <m/>
    <m/>
    <s v="2024-12-31"/>
    <n v="0"/>
    <n v="8.23"/>
    <s v="January"/>
    <n v="1"/>
    <x v="0"/>
    <s v=""/>
    <x v="3"/>
    <x v="0"/>
  </r>
  <r>
    <s v="C0382"/>
    <n v="32"/>
    <x v="11"/>
    <n v="16.96"/>
    <s v="2025-01-24"/>
    <s v="2024-12-29"/>
    <n v="1"/>
    <n v="7.27"/>
    <s v="January"/>
    <n v="1"/>
    <x v="0"/>
    <n v="2025"/>
    <x v="1"/>
    <x v="1"/>
  </r>
  <r>
    <s v="C0383"/>
    <n v="30"/>
    <x v="4"/>
    <m/>
    <m/>
    <s v="2024-08-03"/>
    <n v="0"/>
    <n v="7.8"/>
    <s v="January"/>
    <n v="1"/>
    <x v="0"/>
    <s v=""/>
    <x v="1"/>
    <x v="0"/>
  </r>
  <r>
    <s v="C0384"/>
    <n v="26"/>
    <x v="14"/>
    <m/>
    <m/>
    <s v="2025-04-26"/>
    <n v="0"/>
    <n v="5.53"/>
    <s v="January"/>
    <n v="1"/>
    <x v="0"/>
    <s v=""/>
    <x v="1"/>
    <x v="0"/>
  </r>
  <r>
    <s v="C0385"/>
    <n v="48"/>
    <x v="17"/>
    <n v="27.21"/>
    <s v="2025-05-28"/>
    <s v="2025-05-21"/>
    <n v="1"/>
    <n v="9.39"/>
    <s v="May"/>
    <n v="5"/>
    <x v="1"/>
    <n v="2025"/>
    <x v="3"/>
    <x v="2"/>
  </r>
  <r>
    <s v="C0386"/>
    <n v="25"/>
    <x v="3"/>
    <m/>
    <m/>
    <s v="2024-08-15"/>
    <n v="0"/>
    <n v="9.5299999999999994"/>
    <s v="January"/>
    <n v="1"/>
    <x v="0"/>
    <s v=""/>
    <x v="0"/>
    <x v="0"/>
  </r>
  <r>
    <s v="C0387"/>
    <n v="50"/>
    <x v="15"/>
    <m/>
    <m/>
    <s v="2024-07-06"/>
    <n v="0"/>
    <n v="9.65"/>
    <s v="January"/>
    <n v="1"/>
    <x v="0"/>
    <s v=""/>
    <x v="3"/>
    <x v="0"/>
  </r>
  <r>
    <s v="C0388"/>
    <n v="22"/>
    <x v="12"/>
    <m/>
    <m/>
    <s v="2024-07-01"/>
    <n v="0"/>
    <n v="2.72"/>
    <s v="January"/>
    <n v="1"/>
    <x v="0"/>
    <s v=""/>
    <x v="0"/>
    <x v="0"/>
  </r>
  <r>
    <s v="C0389"/>
    <n v="24"/>
    <x v="11"/>
    <n v="18.72"/>
    <s v="2024-11-29"/>
    <s v="2024-11-01"/>
    <n v="1"/>
    <n v="9.65"/>
    <s v="November"/>
    <n v="11"/>
    <x v="6"/>
    <n v="2024"/>
    <x v="0"/>
    <x v="1"/>
  </r>
  <r>
    <s v="C0390"/>
    <n v="35"/>
    <x v="11"/>
    <n v="8.0299999999999994"/>
    <s v="2024-09-23"/>
    <s v="2024-09-12"/>
    <n v="1"/>
    <n v="4.1399999999999997"/>
    <s v="September"/>
    <n v="9"/>
    <x v="2"/>
    <n v="2024"/>
    <x v="1"/>
    <x v="0"/>
  </r>
  <r>
    <s v="C0391"/>
    <n v="39"/>
    <x v="9"/>
    <m/>
    <m/>
    <s v="2024-12-23"/>
    <n v="0"/>
    <n v="9.84"/>
    <s v="January"/>
    <n v="1"/>
    <x v="0"/>
    <s v=""/>
    <x v="3"/>
    <x v="0"/>
  </r>
  <r>
    <s v="C0392"/>
    <n v="53"/>
    <x v="18"/>
    <m/>
    <m/>
    <s v="2024-08-12"/>
    <n v="0"/>
    <n v="3.88"/>
    <s v="January"/>
    <n v="1"/>
    <x v="0"/>
    <s v=""/>
    <x v="2"/>
    <x v="0"/>
  </r>
  <r>
    <s v="C0393"/>
    <n v="49"/>
    <x v="6"/>
    <m/>
    <m/>
    <s v="2025-04-14"/>
    <n v="0"/>
    <n v="2.77"/>
    <s v="January"/>
    <n v="1"/>
    <x v="0"/>
    <s v=""/>
    <x v="3"/>
    <x v="0"/>
  </r>
  <r>
    <s v="C0394"/>
    <n v="37"/>
    <x v="12"/>
    <m/>
    <m/>
    <s v="2024-08-24"/>
    <n v="0"/>
    <n v="4.1100000000000003"/>
    <s v="January"/>
    <n v="1"/>
    <x v="0"/>
    <s v=""/>
    <x v="3"/>
    <x v="0"/>
  </r>
  <r>
    <s v="C0395"/>
    <n v="47"/>
    <x v="1"/>
    <n v="26.7"/>
    <s v="2024-10-08"/>
    <s v="2024-10-07"/>
    <n v="1"/>
    <n v="3.57"/>
    <s v="October"/>
    <n v="10"/>
    <x v="10"/>
    <n v="2024"/>
    <x v="3"/>
    <x v="2"/>
  </r>
  <r>
    <s v="C0396"/>
    <n v="50"/>
    <x v="13"/>
    <m/>
    <m/>
    <s v="2024-11-18"/>
    <n v="0"/>
    <n v="9.9"/>
    <s v="January"/>
    <n v="1"/>
    <x v="0"/>
    <s v=""/>
    <x v="3"/>
    <x v="0"/>
  </r>
  <r>
    <s v="C0397"/>
    <n v="20"/>
    <x v="11"/>
    <n v="8.74"/>
    <s v="2024-12-12"/>
    <s v="2024-11-17"/>
    <n v="1"/>
    <n v="8.5399999999999991"/>
    <s v="December"/>
    <n v="12"/>
    <x v="8"/>
    <n v="2024"/>
    <x v="0"/>
    <x v="0"/>
  </r>
  <r>
    <s v="C0398"/>
    <n v="43"/>
    <x v="12"/>
    <m/>
    <m/>
    <s v="2025-01-30"/>
    <n v="0"/>
    <n v="3.51"/>
    <s v="January"/>
    <n v="1"/>
    <x v="0"/>
    <s v=""/>
    <x v="3"/>
    <x v="0"/>
  </r>
  <r>
    <s v="C0399"/>
    <n v="34"/>
    <x v="5"/>
    <n v="9.58"/>
    <s v="2025-02-27"/>
    <s v="2025-02-14"/>
    <n v="1"/>
    <n v="6.19"/>
    <s v="February"/>
    <n v="2"/>
    <x v="3"/>
    <n v="2025"/>
    <x v="1"/>
    <x v="0"/>
  </r>
  <r>
    <s v="C0400"/>
    <n v="33"/>
    <x v="16"/>
    <n v="23.3"/>
    <s v="2025-03-26"/>
    <s v="2025-03-05"/>
    <n v="1"/>
    <n v="6.04"/>
    <s v="March"/>
    <n v="3"/>
    <x v="9"/>
    <n v="2025"/>
    <x v="1"/>
    <x v="1"/>
  </r>
  <r>
    <s v="C0401"/>
    <n v="53"/>
    <x v="10"/>
    <n v="38.450000000000003"/>
    <s v="2025-04-19"/>
    <s v="2025-04-18"/>
    <n v="1"/>
    <n v="5.0199999999999996"/>
    <s v="April"/>
    <n v="4"/>
    <x v="4"/>
    <n v="2025"/>
    <x v="2"/>
    <x v="2"/>
  </r>
  <r>
    <s v="C0402"/>
    <n v="29"/>
    <x v="15"/>
    <m/>
    <m/>
    <s v="2025-03-22"/>
    <n v="0"/>
    <n v="4.17"/>
    <s v="January"/>
    <n v="1"/>
    <x v="0"/>
    <s v=""/>
    <x v="1"/>
    <x v="0"/>
  </r>
  <r>
    <s v="C0403"/>
    <n v="31"/>
    <x v="9"/>
    <m/>
    <m/>
    <s v="2025-01-05"/>
    <n v="0"/>
    <n v="6.17"/>
    <s v="January"/>
    <n v="1"/>
    <x v="0"/>
    <s v=""/>
    <x v="1"/>
    <x v="0"/>
  </r>
  <r>
    <s v="C0404"/>
    <n v="48"/>
    <x v="4"/>
    <n v="10.33"/>
    <s v="2025-05-08"/>
    <s v="2025-05-01"/>
    <n v="1"/>
    <n v="5.81"/>
    <s v="May"/>
    <n v="5"/>
    <x v="1"/>
    <n v="2025"/>
    <x v="3"/>
    <x v="1"/>
  </r>
  <r>
    <s v="C0405"/>
    <n v="37"/>
    <x v="1"/>
    <n v="29.84"/>
    <s v="2024-10-25"/>
    <s v="2024-10-01"/>
    <n v="1"/>
    <n v="9.59"/>
    <s v="October"/>
    <n v="10"/>
    <x v="10"/>
    <n v="2024"/>
    <x v="3"/>
    <x v="2"/>
  </r>
  <r>
    <s v="C0406"/>
    <n v="29"/>
    <x v="7"/>
    <n v="9.7100000000000009"/>
    <s v="2025-05-21"/>
    <s v="2025-05-13"/>
    <n v="1"/>
    <n v="7.51"/>
    <s v="May"/>
    <n v="5"/>
    <x v="1"/>
    <n v="2025"/>
    <x v="1"/>
    <x v="0"/>
  </r>
  <r>
    <s v="C0407"/>
    <n v="48"/>
    <x v="8"/>
    <n v="18.3"/>
    <s v="2024-10-01"/>
    <s v="2024-09-09"/>
    <n v="1"/>
    <n v="4.5999999999999996"/>
    <s v="October"/>
    <n v="10"/>
    <x v="10"/>
    <n v="2024"/>
    <x v="3"/>
    <x v="1"/>
  </r>
  <r>
    <s v="C0408"/>
    <n v="21"/>
    <x v="16"/>
    <m/>
    <m/>
    <s v="2024-11-25"/>
    <n v="0"/>
    <n v="9.2799999999999994"/>
    <s v="January"/>
    <n v="1"/>
    <x v="0"/>
    <s v=""/>
    <x v="0"/>
    <x v="0"/>
  </r>
  <r>
    <s v="C0409"/>
    <n v="52"/>
    <x v="1"/>
    <m/>
    <m/>
    <s v="2025-01-13"/>
    <n v="0"/>
    <n v="9.6300000000000008"/>
    <s v="January"/>
    <n v="1"/>
    <x v="0"/>
    <s v=""/>
    <x v="2"/>
    <x v="0"/>
  </r>
  <r>
    <s v="C0410"/>
    <n v="50"/>
    <x v="0"/>
    <m/>
    <m/>
    <s v="2025-01-31"/>
    <n v="0"/>
    <n v="9.92"/>
    <s v="January"/>
    <n v="1"/>
    <x v="0"/>
    <s v=""/>
    <x v="3"/>
    <x v="0"/>
  </r>
  <r>
    <s v="C0411"/>
    <n v="39"/>
    <x v="12"/>
    <n v="9.7100000000000009"/>
    <s v="2025-02-09"/>
    <s v="2025-01-19"/>
    <n v="1"/>
    <n v="5.0999999999999996"/>
    <s v="February"/>
    <n v="2"/>
    <x v="3"/>
    <n v="2025"/>
    <x v="3"/>
    <x v="0"/>
  </r>
  <r>
    <s v="C0412"/>
    <n v="27"/>
    <x v="15"/>
    <m/>
    <m/>
    <s v="2024-09-28"/>
    <n v="0"/>
    <n v="7.01"/>
    <s v="January"/>
    <n v="1"/>
    <x v="0"/>
    <s v=""/>
    <x v="1"/>
    <x v="0"/>
  </r>
  <r>
    <s v="C0413"/>
    <n v="40"/>
    <x v="11"/>
    <n v="17.48"/>
    <s v="2025-04-22"/>
    <s v="2025-03-30"/>
    <n v="1"/>
    <n v="8.19"/>
    <s v="April"/>
    <n v="4"/>
    <x v="4"/>
    <n v="2025"/>
    <x v="3"/>
    <x v="1"/>
  </r>
  <r>
    <s v="C0414"/>
    <n v="39"/>
    <x v="10"/>
    <n v="36.99"/>
    <s v="2025-05-28"/>
    <s v="2025-05-21"/>
    <n v="1"/>
    <n v="2.4300000000000002"/>
    <s v="May"/>
    <n v="5"/>
    <x v="1"/>
    <n v="2025"/>
    <x v="3"/>
    <x v="2"/>
  </r>
  <r>
    <s v="C0415"/>
    <n v="41"/>
    <x v="10"/>
    <m/>
    <m/>
    <s v="2024-06-09"/>
    <n v="0"/>
    <n v="3.87"/>
    <s v="January"/>
    <n v="1"/>
    <x v="0"/>
    <s v=""/>
    <x v="3"/>
    <x v="0"/>
  </r>
  <r>
    <s v="C0416"/>
    <n v="44"/>
    <x v="2"/>
    <m/>
    <m/>
    <s v="2025-03-19"/>
    <n v="0"/>
    <n v="8.4499999999999993"/>
    <s v="January"/>
    <n v="1"/>
    <x v="0"/>
    <s v=""/>
    <x v="3"/>
    <x v="0"/>
  </r>
  <r>
    <s v="C0417"/>
    <n v="21"/>
    <x v="1"/>
    <n v="9.7799999999999994"/>
    <s v="2024-09-09"/>
    <s v="2024-08-13"/>
    <n v="1"/>
    <n v="8.06"/>
    <s v="September"/>
    <n v="9"/>
    <x v="2"/>
    <n v="2024"/>
    <x v="0"/>
    <x v="0"/>
  </r>
  <r>
    <s v="C0418"/>
    <n v="30"/>
    <x v="16"/>
    <m/>
    <m/>
    <s v="2024-08-17"/>
    <n v="0"/>
    <n v="9.24"/>
    <s v="January"/>
    <n v="1"/>
    <x v="0"/>
    <s v=""/>
    <x v="1"/>
    <x v="0"/>
  </r>
  <r>
    <s v="C0419"/>
    <n v="53"/>
    <x v="12"/>
    <n v="21.21"/>
    <s v="2024-11-26"/>
    <s v="2024-11-25"/>
    <n v="1"/>
    <n v="8.23"/>
    <s v="November"/>
    <n v="11"/>
    <x v="6"/>
    <n v="2024"/>
    <x v="2"/>
    <x v="1"/>
  </r>
  <r>
    <s v="C0420"/>
    <n v="24"/>
    <x v="1"/>
    <n v="16.329999999999998"/>
    <s v="2024-12-29"/>
    <s v="2024-12-24"/>
    <n v="1"/>
    <n v="4.24"/>
    <s v="December"/>
    <n v="12"/>
    <x v="8"/>
    <n v="2024"/>
    <x v="0"/>
    <x v="1"/>
  </r>
  <r>
    <s v="C0421"/>
    <n v="22"/>
    <x v="8"/>
    <m/>
    <m/>
    <s v="2024-06-15"/>
    <n v="0"/>
    <n v="2.98"/>
    <s v="January"/>
    <n v="1"/>
    <x v="0"/>
    <s v=""/>
    <x v="0"/>
    <x v="0"/>
  </r>
  <r>
    <s v="C0422"/>
    <n v="51"/>
    <x v="16"/>
    <m/>
    <m/>
    <s v="2024-10-29"/>
    <n v="0"/>
    <n v="3.28"/>
    <s v="January"/>
    <n v="1"/>
    <x v="0"/>
    <s v=""/>
    <x v="2"/>
    <x v="0"/>
  </r>
  <r>
    <s v="C0423"/>
    <n v="39"/>
    <x v="9"/>
    <m/>
    <m/>
    <s v="2024-08-30"/>
    <n v="0"/>
    <n v="4.03"/>
    <s v="January"/>
    <n v="1"/>
    <x v="0"/>
    <s v=""/>
    <x v="3"/>
    <x v="0"/>
  </r>
  <r>
    <s v="C0424"/>
    <n v="36"/>
    <x v="16"/>
    <m/>
    <m/>
    <s v="2024-10-19"/>
    <n v="0"/>
    <n v="9.5399999999999991"/>
    <s v="January"/>
    <n v="1"/>
    <x v="0"/>
    <s v=""/>
    <x v="3"/>
    <x v="0"/>
  </r>
  <r>
    <s v="C0425"/>
    <n v="47"/>
    <x v="19"/>
    <m/>
    <m/>
    <s v="2024-11-25"/>
    <n v="0"/>
    <n v="9.67"/>
    <s v="January"/>
    <n v="1"/>
    <x v="0"/>
    <s v=""/>
    <x v="3"/>
    <x v="0"/>
  </r>
  <r>
    <s v="C0426"/>
    <n v="45"/>
    <x v="8"/>
    <n v="18.440000000000001"/>
    <s v="2025-03-08"/>
    <s v="2025-02-22"/>
    <n v="1"/>
    <n v="8.73"/>
    <s v="March"/>
    <n v="3"/>
    <x v="9"/>
    <n v="2025"/>
    <x v="3"/>
    <x v="1"/>
  </r>
  <r>
    <s v="C0427"/>
    <n v="48"/>
    <x v="2"/>
    <n v="17.21"/>
    <s v="2025-04-07"/>
    <s v="2025-03-13"/>
    <n v="1"/>
    <n v="2.06"/>
    <s v="April"/>
    <n v="4"/>
    <x v="4"/>
    <n v="2025"/>
    <x v="3"/>
    <x v="1"/>
  </r>
  <r>
    <s v="C0428"/>
    <n v="38"/>
    <x v="0"/>
    <n v="14.18"/>
    <s v="2024-08-13"/>
    <s v="2024-07-18"/>
    <n v="1"/>
    <n v="4.6100000000000003"/>
    <s v="August"/>
    <n v="8"/>
    <x v="11"/>
    <n v="2024"/>
    <x v="3"/>
    <x v="1"/>
  </r>
  <r>
    <s v="C0429"/>
    <n v="32"/>
    <x v="17"/>
    <m/>
    <m/>
    <s v="2025-04-18"/>
    <n v="0"/>
    <n v="5.76"/>
    <s v="January"/>
    <n v="1"/>
    <x v="0"/>
    <s v=""/>
    <x v="1"/>
    <x v="0"/>
  </r>
  <r>
    <s v="C0430"/>
    <n v="41"/>
    <x v="4"/>
    <m/>
    <m/>
    <s v="2025-04-19"/>
    <n v="0"/>
    <n v="8.44"/>
    <s v="January"/>
    <n v="1"/>
    <x v="0"/>
    <s v=""/>
    <x v="3"/>
    <x v="0"/>
  </r>
  <r>
    <s v="C0431"/>
    <n v="48"/>
    <x v="7"/>
    <m/>
    <m/>
    <s v="2024-10-27"/>
    <n v="0"/>
    <n v="3.34"/>
    <s v="January"/>
    <n v="1"/>
    <x v="0"/>
    <s v=""/>
    <x v="3"/>
    <x v="0"/>
  </r>
  <r>
    <s v="C0432"/>
    <n v="29"/>
    <x v="19"/>
    <n v="8.5500000000000007"/>
    <s v="2025-04-11"/>
    <s v="2025-04-09"/>
    <n v="1"/>
    <n v="2.56"/>
    <s v="April"/>
    <n v="4"/>
    <x v="4"/>
    <n v="2025"/>
    <x v="1"/>
    <x v="0"/>
  </r>
  <r>
    <s v="C0433"/>
    <n v="22"/>
    <x v="9"/>
    <m/>
    <m/>
    <s v="2025-05-20"/>
    <n v="0"/>
    <n v="7.85"/>
    <s v="January"/>
    <n v="1"/>
    <x v="0"/>
    <s v=""/>
    <x v="0"/>
    <x v="0"/>
  </r>
  <r>
    <s v="C0434"/>
    <n v="21"/>
    <x v="1"/>
    <n v="13.86"/>
    <s v="2024-06-30"/>
    <s v="2024-06-10"/>
    <n v="1"/>
    <n v="2.0099999999999998"/>
    <s v="June"/>
    <n v="6"/>
    <x v="7"/>
    <n v="2024"/>
    <x v="0"/>
    <x v="1"/>
  </r>
  <r>
    <s v="C0435"/>
    <n v="31"/>
    <x v="5"/>
    <n v="12.26"/>
    <s v="2024-12-09"/>
    <s v="2024-12-07"/>
    <n v="1"/>
    <n v="8.6999999999999993"/>
    <s v="December"/>
    <n v="12"/>
    <x v="8"/>
    <n v="2024"/>
    <x v="1"/>
    <x v="1"/>
  </r>
  <r>
    <s v="C0436"/>
    <n v="50"/>
    <x v="5"/>
    <n v="13.24"/>
    <s v="2024-11-30"/>
    <s v="2024-11-25"/>
    <n v="1"/>
    <n v="8.64"/>
    <s v="November"/>
    <n v="11"/>
    <x v="6"/>
    <n v="2024"/>
    <x v="3"/>
    <x v="1"/>
  </r>
  <r>
    <s v="C0437"/>
    <n v="54"/>
    <x v="11"/>
    <n v="19.11"/>
    <s v="2024-12-12"/>
    <s v="2024-12-11"/>
    <n v="1"/>
    <n v="2.19"/>
    <s v="December"/>
    <n v="12"/>
    <x v="8"/>
    <n v="2024"/>
    <x v="2"/>
    <x v="1"/>
  </r>
  <r>
    <s v="C0438"/>
    <n v="39"/>
    <x v="8"/>
    <n v="20.03"/>
    <s v="2024-07-09"/>
    <s v="2024-06-16"/>
    <n v="1"/>
    <n v="3.82"/>
    <s v="July"/>
    <n v="7"/>
    <x v="5"/>
    <n v="2024"/>
    <x v="3"/>
    <x v="1"/>
  </r>
  <r>
    <s v="C0439"/>
    <n v="23"/>
    <x v="1"/>
    <m/>
    <m/>
    <s v="2024-09-25"/>
    <n v="0"/>
    <n v="2.21"/>
    <s v="January"/>
    <n v="1"/>
    <x v="0"/>
    <s v=""/>
    <x v="0"/>
    <x v="0"/>
  </r>
  <r>
    <s v="C0440"/>
    <n v="43"/>
    <x v="8"/>
    <m/>
    <m/>
    <s v="2024-07-19"/>
    <n v="0"/>
    <n v="2.34"/>
    <s v="January"/>
    <n v="1"/>
    <x v="0"/>
    <s v=""/>
    <x v="3"/>
    <x v="0"/>
  </r>
  <r>
    <s v="C0441"/>
    <n v="20"/>
    <x v="16"/>
    <n v="19.88"/>
    <s v="2025-04-23"/>
    <s v="2025-04-11"/>
    <n v="1"/>
    <n v="8.73"/>
    <s v="April"/>
    <n v="4"/>
    <x v="4"/>
    <n v="2025"/>
    <x v="0"/>
    <x v="1"/>
  </r>
  <r>
    <s v="C0442"/>
    <n v="49"/>
    <x v="13"/>
    <m/>
    <m/>
    <s v="2025-02-01"/>
    <n v="0"/>
    <n v="6.91"/>
    <s v="January"/>
    <n v="1"/>
    <x v="0"/>
    <s v=""/>
    <x v="3"/>
    <x v="0"/>
  </r>
  <r>
    <s v="C0443"/>
    <n v="43"/>
    <x v="4"/>
    <n v="24.85"/>
    <s v="2025-02-14"/>
    <s v="2025-02-08"/>
    <n v="1"/>
    <n v="4.3899999999999997"/>
    <s v="February"/>
    <n v="2"/>
    <x v="3"/>
    <n v="2025"/>
    <x v="3"/>
    <x v="1"/>
  </r>
  <r>
    <s v="C0444"/>
    <n v="53"/>
    <x v="6"/>
    <m/>
    <m/>
    <s v="2024-07-18"/>
    <n v="0"/>
    <n v="7.07"/>
    <s v="January"/>
    <n v="1"/>
    <x v="0"/>
    <s v=""/>
    <x v="2"/>
    <x v="0"/>
  </r>
  <r>
    <s v="C0445"/>
    <n v="32"/>
    <x v="15"/>
    <m/>
    <m/>
    <s v="2025-04-30"/>
    <n v="0"/>
    <n v="4.1100000000000003"/>
    <s v="January"/>
    <n v="1"/>
    <x v="0"/>
    <s v=""/>
    <x v="1"/>
    <x v="0"/>
  </r>
  <r>
    <s v="C0446"/>
    <n v="23"/>
    <x v="15"/>
    <m/>
    <m/>
    <s v="2024-09-08"/>
    <n v="0"/>
    <n v="2.16"/>
    <s v="January"/>
    <n v="1"/>
    <x v="0"/>
    <s v=""/>
    <x v="0"/>
    <x v="0"/>
  </r>
  <r>
    <s v="C0447"/>
    <n v="44"/>
    <x v="0"/>
    <n v="11.05"/>
    <s v="2024-11-17"/>
    <s v="2024-11-05"/>
    <n v="1"/>
    <n v="6.87"/>
    <s v="November"/>
    <n v="11"/>
    <x v="6"/>
    <n v="2024"/>
    <x v="3"/>
    <x v="1"/>
  </r>
  <r>
    <s v="C0448"/>
    <n v="42"/>
    <x v="10"/>
    <m/>
    <m/>
    <s v="2024-09-19"/>
    <n v="0"/>
    <n v="9.39"/>
    <s v="January"/>
    <n v="1"/>
    <x v="0"/>
    <s v=""/>
    <x v="3"/>
    <x v="0"/>
  </r>
  <r>
    <s v="C0449"/>
    <n v="23"/>
    <x v="4"/>
    <n v="23.13"/>
    <s v="2024-09-09"/>
    <s v="2024-08-14"/>
    <n v="1"/>
    <n v="5.49"/>
    <s v="September"/>
    <n v="9"/>
    <x v="2"/>
    <n v="2024"/>
    <x v="0"/>
    <x v="1"/>
  </r>
  <r>
    <s v="C0450"/>
    <n v="40"/>
    <x v="18"/>
    <n v="31.05"/>
    <s v="2024-07-20"/>
    <s v="2024-06-25"/>
    <n v="1"/>
    <n v="3.09"/>
    <s v="July"/>
    <n v="7"/>
    <x v="5"/>
    <n v="2024"/>
    <x v="3"/>
    <x v="2"/>
  </r>
  <r>
    <s v="C0451"/>
    <n v="23"/>
    <x v="1"/>
    <n v="19.29"/>
    <s v="2025-03-28"/>
    <s v="2025-02-27"/>
    <n v="1"/>
    <n v="7.59"/>
    <s v="March"/>
    <n v="3"/>
    <x v="9"/>
    <n v="2025"/>
    <x v="0"/>
    <x v="1"/>
  </r>
  <r>
    <s v="C0452"/>
    <n v="53"/>
    <x v="9"/>
    <n v="31.95"/>
    <s v="2025-05-03"/>
    <s v="2025-04-18"/>
    <n v="1"/>
    <n v="7.36"/>
    <s v="May"/>
    <n v="5"/>
    <x v="1"/>
    <n v="2025"/>
    <x v="2"/>
    <x v="2"/>
  </r>
  <r>
    <s v="C0453"/>
    <n v="48"/>
    <x v="1"/>
    <m/>
    <m/>
    <s v="2025-05-27"/>
    <n v="0"/>
    <n v="4.34"/>
    <s v="January"/>
    <n v="1"/>
    <x v="0"/>
    <s v=""/>
    <x v="3"/>
    <x v="0"/>
  </r>
  <r>
    <s v="C0454"/>
    <n v="46"/>
    <x v="9"/>
    <n v="38.39"/>
    <s v="2024-10-16"/>
    <s v="2024-10-09"/>
    <n v="1"/>
    <n v="3.94"/>
    <s v="October"/>
    <n v="10"/>
    <x v="10"/>
    <n v="2024"/>
    <x v="3"/>
    <x v="2"/>
  </r>
  <r>
    <s v="C0455"/>
    <n v="25"/>
    <x v="11"/>
    <n v="23.38"/>
    <s v="2024-08-18"/>
    <s v="2024-07-19"/>
    <n v="1"/>
    <n v="4.3499999999999996"/>
    <s v="August"/>
    <n v="8"/>
    <x v="11"/>
    <n v="2024"/>
    <x v="0"/>
    <x v="1"/>
  </r>
  <r>
    <s v="C0456"/>
    <n v="40"/>
    <x v="15"/>
    <m/>
    <m/>
    <s v="2024-09-04"/>
    <n v="0"/>
    <n v="6.04"/>
    <s v="January"/>
    <n v="1"/>
    <x v="0"/>
    <s v=""/>
    <x v="3"/>
    <x v="0"/>
  </r>
  <r>
    <s v="C0457"/>
    <n v="32"/>
    <x v="9"/>
    <n v="23.98"/>
    <s v="2024-11-09"/>
    <s v="2024-10-18"/>
    <n v="1"/>
    <n v="4.3499999999999996"/>
    <s v="November"/>
    <n v="11"/>
    <x v="6"/>
    <n v="2024"/>
    <x v="1"/>
    <x v="1"/>
  </r>
  <r>
    <s v="C0458"/>
    <n v="44"/>
    <x v="7"/>
    <m/>
    <m/>
    <s v="2024-11-15"/>
    <n v="0"/>
    <n v="4.16"/>
    <s v="January"/>
    <n v="1"/>
    <x v="0"/>
    <s v=""/>
    <x v="3"/>
    <x v="0"/>
  </r>
  <r>
    <s v="C0459"/>
    <n v="36"/>
    <x v="11"/>
    <n v="18.18"/>
    <s v="2024-10-26"/>
    <s v="2024-10-26"/>
    <n v="1"/>
    <n v="2.29"/>
    <s v="October"/>
    <n v="10"/>
    <x v="10"/>
    <n v="2024"/>
    <x v="3"/>
    <x v="1"/>
  </r>
  <r>
    <s v="C0460"/>
    <n v="25"/>
    <x v="12"/>
    <m/>
    <m/>
    <s v="2024-07-14"/>
    <n v="0"/>
    <n v="9.1"/>
    <s v="January"/>
    <n v="1"/>
    <x v="0"/>
    <s v=""/>
    <x v="0"/>
    <x v="0"/>
  </r>
  <r>
    <s v="C0461"/>
    <n v="25"/>
    <x v="15"/>
    <n v="14.29"/>
    <s v="2025-05-27"/>
    <s v="2025-05-21"/>
    <n v="1"/>
    <n v="9.7100000000000009"/>
    <s v="May"/>
    <n v="5"/>
    <x v="1"/>
    <n v="2025"/>
    <x v="0"/>
    <x v="1"/>
  </r>
  <r>
    <s v="C0462"/>
    <n v="47"/>
    <x v="18"/>
    <n v="39.450000000000003"/>
    <s v="2025-04-11"/>
    <s v="2025-03-17"/>
    <n v="1"/>
    <n v="9.9499999999999993"/>
    <s v="April"/>
    <n v="4"/>
    <x v="4"/>
    <n v="2025"/>
    <x v="3"/>
    <x v="2"/>
  </r>
  <r>
    <s v="C0463"/>
    <n v="23"/>
    <x v="14"/>
    <n v="9.83"/>
    <s v="2025-01-06"/>
    <s v="2024-12-11"/>
    <n v="1"/>
    <n v="5.61"/>
    <s v="January"/>
    <n v="1"/>
    <x v="0"/>
    <n v="2025"/>
    <x v="0"/>
    <x v="0"/>
  </r>
  <r>
    <s v="C0464"/>
    <n v="21"/>
    <x v="6"/>
    <n v="18.84"/>
    <s v="2024-08-08"/>
    <s v="2024-07-22"/>
    <n v="1"/>
    <n v="6.58"/>
    <s v="August"/>
    <n v="8"/>
    <x v="11"/>
    <n v="2024"/>
    <x v="0"/>
    <x v="1"/>
  </r>
  <r>
    <s v="C0465"/>
    <n v="26"/>
    <x v="16"/>
    <m/>
    <m/>
    <s v="2025-01-21"/>
    <n v="0"/>
    <n v="5.41"/>
    <s v="January"/>
    <n v="1"/>
    <x v="0"/>
    <s v=""/>
    <x v="1"/>
    <x v="0"/>
  </r>
  <r>
    <s v="C0466"/>
    <n v="42"/>
    <x v="0"/>
    <n v="20.63"/>
    <s v="2025-03-03"/>
    <s v="2025-02-22"/>
    <n v="1"/>
    <n v="5.62"/>
    <s v="March"/>
    <n v="3"/>
    <x v="9"/>
    <n v="2025"/>
    <x v="3"/>
    <x v="1"/>
  </r>
  <r>
    <s v="C0467"/>
    <n v="27"/>
    <x v="18"/>
    <m/>
    <m/>
    <s v="2024-09-02"/>
    <n v="0"/>
    <n v="3.32"/>
    <s v="January"/>
    <n v="1"/>
    <x v="0"/>
    <s v=""/>
    <x v="1"/>
    <x v="0"/>
  </r>
  <r>
    <s v="C0468"/>
    <n v="22"/>
    <x v="2"/>
    <m/>
    <m/>
    <s v="2024-11-20"/>
    <n v="0"/>
    <n v="5.24"/>
    <s v="January"/>
    <n v="1"/>
    <x v="0"/>
    <s v=""/>
    <x v="0"/>
    <x v="0"/>
  </r>
  <r>
    <s v="C0469"/>
    <n v="44"/>
    <x v="4"/>
    <n v="15.73"/>
    <s v="2024-09-09"/>
    <s v="2024-08-11"/>
    <n v="1"/>
    <n v="8.91"/>
    <s v="September"/>
    <n v="9"/>
    <x v="2"/>
    <n v="2024"/>
    <x v="3"/>
    <x v="1"/>
  </r>
  <r>
    <s v="C0470"/>
    <n v="31"/>
    <x v="0"/>
    <m/>
    <m/>
    <s v="2024-06-08"/>
    <n v="0"/>
    <n v="3.83"/>
    <s v="January"/>
    <n v="1"/>
    <x v="0"/>
    <s v=""/>
    <x v="1"/>
    <x v="0"/>
  </r>
  <r>
    <s v="C0471"/>
    <n v="25"/>
    <x v="19"/>
    <m/>
    <m/>
    <s v="2024-07-07"/>
    <n v="0"/>
    <n v="9.5399999999999991"/>
    <s v="January"/>
    <n v="1"/>
    <x v="0"/>
    <s v=""/>
    <x v="0"/>
    <x v="0"/>
  </r>
  <r>
    <s v="C0472"/>
    <n v="19"/>
    <x v="8"/>
    <n v="11.23"/>
    <s v="2025-01-01"/>
    <s v="2024-12-26"/>
    <n v="1"/>
    <n v="4.57"/>
    <s v="January"/>
    <n v="1"/>
    <x v="0"/>
    <n v="2025"/>
    <x v="0"/>
    <x v="1"/>
  </r>
  <r>
    <s v="C0473"/>
    <n v="37"/>
    <x v="11"/>
    <n v="13.2"/>
    <s v="2024-10-28"/>
    <s v="2024-09-29"/>
    <n v="1"/>
    <n v="3.84"/>
    <s v="October"/>
    <n v="10"/>
    <x v="10"/>
    <n v="2024"/>
    <x v="3"/>
    <x v="1"/>
  </r>
  <r>
    <s v="C0474"/>
    <n v="49"/>
    <x v="4"/>
    <n v="19.03"/>
    <s v="2025-01-11"/>
    <s v="2024-12-28"/>
    <n v="1"/>
    <n v="8.85"/>
    <s v="January"/>
    <n v="1"/>
    <x v="0"/>
    <n v="2025"/>
    <x v="3"/>
    <x v="1"/>
  </r>
  <r>
    <s v="C0475"/>
    <n v="28"/>
    <x v="5"/>
    <n v="20.86"/>
    <s v="2025-02-12"/>
    <s v="2025-02-06"/>
    <n v="1"/>
    <n v="5.92"/>
    <s v="February"/>
    <n v="2"/>
    <x v="3"/>
    <n v="2025"/>
    <x v="1"/>
    <x v="1"/>
  </r>
  <r>
    <s v="C0476"/>
    <n v="42"/>
    <x v="16"/>
    <m/>
    <m/>
    <s v="2025-05-03"/>
    <n v="0"/>
    <n v="2.83"/>
    <s v="January"/>
    <n v="1"/>
    <x v="0"/>
    <s v=""/>
    <x v="3"/>
    <x v="0"/>
  </r>
  <r>
    <s v="C0477"/>
    <n v="22"/>
    <x v="1"/>
    <n v="23.34"/>
    <s v="2024-12-28"/>
    <s v="2024-12-22"/>
    <n v="1"/>
    <n v="5.47"/>
    <s v="December"/>
    <n v="12"/>
    <x v="8"/>
    <n v="2024"/>
    <x v="0"/>
    <x v="1"/>
  </r>
  <r>
    <s v="C0478"/>
    <n v="45"/>
    <x v="16"/>
    <m/>
    <m/>
    <s v="2025-03-10"/>
    <n v="0"/>
    <n v="8.92"/>
    <s v="January"/>
    <n v="1"/>
    <x v="0"/>
    <s v=""/>
    <x v="3"/>
    <x v="0"/>
  </r>
  <r>
    <s v="C0479"/>
    <n v="33"/>
    <x v="3"/>
    <n v="11.54"/>
    <s v="2024-11-22"/>
    <s v="2024-11-18"/>
    <n v="1"/>
    <n v="9.48"/>
    <s v="November"/>
    <n v="11"/>
    <x v="6"/>
    <n v="2024"/>
    <x v="1"/>
    <x v="1"/>
  </r>
  <r>
    <s v="C0480"/>
    <n v="52"/>
    <x v="11"/>
    <n v="19.96"/>
    <s v="2024-10-08"/>
    <s v="2024-09-12"/>
    <n v="1"/>
    <n v="4.76"/>
    <s v="October"/>
    <n v="10"/>
    <x v="10"/>
    <n v="2024"/>
    <x v="2"/>
    <x v="1"/>
  </r>
  <r>
    <s v="C0481"/>
    <n v="18"/>
    <x v="8"/>
    <n v="21"/>
    <s v="2025-02-18"/>
    <s v="2025-02-09"/>
    <n v="1"/>
    <n v="9.83"/>
    <s v="February"/>
    <n v="2"/>
    <x v="3"/>
    <n v="2025"/>
    <x v="0"/>
    <x v="1"/>
  </r>
  <r>
    <s v="C0482"/>
    <n v="40"/>
    <x v="17"/>
    <n v="30.01"/>
    <s v="2025-05-01"/>
    <s v="2025-04-19"/>
    <n v="1"/>
    <n v="5.8"/>
    <s v="May"/>
    <n v="5"/>
    <x v="1"/>
    <n v="2025"/>
    <x v="3"/>
    <x v="2"/>
  </r>
  <r>
    <s v="C0483"/>
    <n v="49"/>
    <x v="15"/>
    <n v="11.78"/>
    <s v="2025-01-17"/>
    <s v="2025-01-04"/>
    <n v="1"/>
    <n v="6.62"/>
    <s v="January"/>
    <n v="1"/>
    <x v="0"/>
    <n v="2025"/>
    <x v="3"/>
    <x v="1"/>
  </r>
  <r>
    <s v="C0484"/>
    <n v="42"/>
    <x v="16"/>
    <m/>
    <m/>
    <s v="2025-05-03"/>
    <n v="0"/>
    <n v="9.86"/>
    <s v="January"/>
    <n v="1"/>
    <x v="0"/>
    <s v=""/>
    <x v="3"/>
    <x v="0"/>
  </r>
  <r>
    <s v="C0485"/>
    <n v="48"/>
    <x v="8"/>
    <m/>
    <m/>
    <s v="2024-10-29"/>
    <n v="0"/>
    <n v="3.74"/>
    <s v="January"/>
    <n v="1"/>
    <x v="0"/>
    <s v=""/>
    <x v="3"/>
    <x v="0"/>
  </r>
  <r>
    <s v="C0486"/>
    <n v="33"/>
    <x v="5"/>
    <m/>
    <m/>
    <s v="2024-10-09"/>
    <n v="0"/>
    <n v="4.03"/>
    <s v="January"/>
    <n v="1"/>
    <x v="0"/>
    <s v=""/>
    <x v="1"/>
    <x v="0"/>
  </r>
  <r>
    <s v="C0487"/>
    <n v="36"/>
    <x v="19"/>
    <m/>
    <m/>
    <s v="2024-12-09"/>
    <n v="0"/>
    <n v="9.74"/>
    <s v="January"/>
    <n v="1"/>
    <x v="0"/>
    <s v=""/>
    <x v="3"/>
    <x v="0"/>
  </r>
  <r>
    <s v="C0488"/>
    <n v="18"/>
    <x v="16"/>
    <m/>
    <m/>
    <s v="2024-09-16"/>
    <n v="0"/>
    <n v="8.67"/>
    <s v="January"/>
    <n v="1"/>
    <x v="0"/>
    <s v=""/>
    <x v="0"/>
    <x v="0"/>
  </r>
  <r>
    <s v="C0489"/>
    <n v="19"/>
    <x v="8"/>
    <m/>
    <m/>
    <s v="2025-05-26"/>
    <n v="0"/>
    <n v="7.7"/>
    <s v="January"/>
    <n v="1"/>
    <x v="0"/>
    <s v=""/>
    <x v="0"/>
    <x v="0"/>
  </r>
  <r>
    <s v="C0490"/>
    <n v="33"/>
    <x v="2"/>
    <n v="13.54"/>
    <s v="2024-11-18"/>
    <s v="2024-11-08"/>
    <n v="1"/>
    <n v="7.84"/>
    <s v="November"/>
    <n v="11"/>
    <x v="6"/>
    <n v="2024"/>
    <x v="1"/>
    <x v="1"/>
  </r>
  <r>
    <s v="C0491"/>
    <n v="48"/>
    <x v="12"/>
    <m/>
    <m/>
    <s v="2024-10-15"/>
    <n v="0"/>
    <n v="5.56"/>
    <s v="January"/>
    <n v="1"/>
    <x v="0"/>
    <s v=""/>
    <x v="3"/>
    <x v="0"/>
  </r>
  <r>
    <s v="C0492"/>
    <n v="19"/>
    <x v="17"/>
    <n v="14.23"/>
    <s v="2024-12-11"/>
    <s v="2024-11-29"/>
    <n v="1"/>
    <n v="7.62"/>
    <s v="December"/>
    <n v="12"/>
    <x v="8"/>
    <n v="2024"/>
    <x v="0"/>
    <x v="1"/>
  </r>
  <r>
    <s v="C0493"/>
    <n v="50"/>
    <x v="15"/>
    <n v="12.36"/>
    <s v="2024-07-27"/>
    <s v="2024-06-29"/>
    <n v="1"/>
    <n v="4"/>
    <s v="July"/>
    <n v="7"/>
    <x v="5"/>
    <n v="2024"/>
    <x v="3"/>
    <x v="1"/>
  </r>
  <r>
    <s v="C0494"/>
    <n v="53"/>
    <x v="2"/>
    <n v="9.6999999999999993"/>
    <s v="2024-07-10"/>
    <s v="2024-06-25"/>
    <n v="1"/>
    <n v="9.93"/>
    <s v="July"/>
    <n v="7"/>
    <x v="5"/>
    <n v="2024"/>
    <x v="2"/>
    <x v="0"/>
  </r>
  <r>
    <s v="C0495"/>
    <n v="29"/>
    <x v="15"/>
    <m/>
    <m/>
    <s v="2025-04-13"/>
    <n v="0"/>
    <n v="5.62"/>
    <s v="January"/>
    <n v="1"/>
    <x v="0"/>
    <s v=""/>
    <x v="1"/>
    <x v="0"/>
  </r>
  <r>
    <s v="C0496"/>
    <n v="52"/>
    <x v="2"/>
    <n v="18.53"/>
    <s v="2025-05-22"/>
    <s v="2025-05-14"/>
    <n v="1"/>
    <n v="4.49"/>
    <s v="May"/>
    <n v="5"/>
    <x v="1"/>
    <n v="2025"/>
    <x v="2"/>
    <x v="1"/>
  </r>
  <r>
    <s v="C0497"/>
    <n v="38"/>
    <x v="3"/>
    <n v="27.74"/>
    <s v="2024-11-28"/>
    <s v="2024-11-23"/>
    <n v="1"/>
    <n v="8.73"/>
    <s v="November"/>
    <n v="11"/>
    <x v="6"/>
    <n v="2024"/>
    <x v="3"/>
    <x v="2"/>
  </r>
  <r>
    <s v="C0498"/>
    <n v="47"/>
    <x v="9"/>
    <n v="35.43"/>
    <s v="2025-04-12"/>
    <s v="2025-04-04"/>
    <n v="1"/>
    <n v="7.4"/>
    <s v="April"/>
    <n v="4"/>
    <x v="4"/>
    <n v="2025"/>
    <x v="3"/>
    <x v="2"/>
  </r>
  <r>
    <s v="C0499"/>
    <n v="39"/>
    <x v="6"/>
    <n v="23.1"/>
    <s v="2025-04-06"/>
    <s v="2025-03-31"/>
    <n v="1"/>
    <n v="8.89"/>
    <s v="April"/>
    <n v="4"/>
    <x v="4"/>
    <n v="2025"/>
    <x v="3"/>
    <x v="1"/>
  </r>
  <r>
    <s v="C0500"/>
    <n v="48"/>
    <x v="14"/>
    <n v="12.54"/>
    <s v="2024-10-22"/>
    <s v="2024-10-08"/>
    <n v="1"/>
    <n v="8.26"/>
    <s v="October"/>
    <n v="10"/>
    <x v="10"/>
    <n v="2024"/>
    <x v="3"/>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E1181773-D2DC-D946-B4D9-1876A6E5C47D}" name="Tabella pivot1" cacheId="21" applyNumberFormats="0" applyBorderFormats="0" applyFontFormats="0" applyPatternFormats="0" applyAlignmentFormats="0" applyWidthHeightFormats="1" dataCaption="Valori" grandTotalCaption="Total" updatedVersion="8" minRefreshableVersion="3" useAutoFormatting="1" itemPrintTitles="1" createdVersion="8" indent="0" compact="0" compactData="0" multipleFieldFilters="0" chartFormat="6" rowHeaderCaption="Purchase_Month">
  <location ref="B3:C16" firstHeaderRow="1" firstDataRow="1" firstDataCol="1"/>
  <pivotFields count="14">
    <pivotField compact="0" outline="0" showAll="0"/>
    <pivotField compact="0" outline="0" showAll="0"/>
    <pivotField compact="0" outline="0" showAll="0"/>
    <pivotField dataField="1" compact="0" outline="0" showAll="0"/>
    <pivotField compact="0" outline="0" showAll="0"/>
    <pivotField compact="0" outline="0" showAll="0"/>
    <pivotField compact="0" outline="0" showAll="0"/>
    <pivotField compact="0" outline="0" showAll="0"/>
    <pivotField compact="0" outline="0" showAll="0" sortType="ascending"/>
    <pivotField compact="0" outline="0" showAll="0" sortType="ascending"/>
    <pivotField axis="axisRow" compact="0" outline="0" showAll="0">
      <items count="13">
        <item x="0"/>
        <item x="3"/>
        <item x="9"/>
        <item x="4"/>
        <item x="1"/>
        <item x="7"/>
        <item x="5"/>
        <item x="11"/>
        <item x="2"/>
        <item x="10"/>
        <item x="6"/>
        <item x="8"/>
        <item t="default"/>
      </items>
    </pivotField>
    <pivotField compact="0" outline="0" showAll="0"/>
    <pivotField compact="0" outline="0" showAll="0"/>
    <pivotField compact="0" outline="0" showAll="0"/>
  </pivotFields>
  <rowFields count="1">
    <field x="10"/>
  </rowFields>
  <rowItems count="13">
    <i>
      <x/>
    </i>
    <i>
      <x v="1"/>
    </i>
    <i>
      <x v="2"/>
    </i>
    <i>
      <x v="3"/>
    </i>
    <i>
      <x v="4"/>
    </i>
    <i>
      <x v="5"/>
    </i>
    <i>
      <x v="6"/>
    </i>
    <i>
      <x v="7"/>
    </i>
    <i>
      <x v="8"/>
    </i>
    <i>
      <x v="9"/>
    </i>
    <i>
      <x v="10"/>
    </i>
    <i>
      <x v="11"/>
    </i>
    <i t="grand">
      <x/>
    </i>
  </rowItems>
  <colItems count="1">
    <i/>
  </colItems>
  <dataFields count="1">
    <dataField name="Total_Spent_Sum (€)" fld="3" baseField="0" baseItem="0"/>
  </dataFields>
  <formats count="6">
    <format dxfId="29">
      <pivotArea type="all" dataOnly="0" outline="0" fieldPosition="0"/>
    </format>
    <format dxfId="28">
      <pivotArea outline="0" collapsedLevelsAreSubtotals="1" fieldPosition="0"/>
    </format>
    <format dxfId="27">
      <pivotArea field="10" type="button" dataOnly="0" labelOnly="1" outline="0" axis="axisRow" fieldPosition="0"/>
    </format>
    <format dxfId="26">
      <pivotArea dataOnly="0" labelOnly="1" outline="0" fieldPosition="0">
        <references count="1">
          <reference field="10" count="0"/>
        </references>
      </pivotArea>
    </format>
    <format dxfId="25">
      <pivotArea dataOnly="0" labelOnly="1" grandRow="1" outline="0" fieldPosition="0"/>
    </format>
    <format dxfId="24">
      <pivotArea dataOnly="0" labelOnly="1" outline="0" axis="axisValues" fieldPosition="0"/>
    </format>
  </formats>
  <chartFormats count="2">
    <chartFormat chart="1" format="6" series="1">
      <pivotArea type="data" outline="0" fieldPosition="0">
        <references count="1">
          <reference field="4294967294" count="1" selected="0">
            <x v="0"/>
          </reference>
        </references>
      </pivotArea>
    </chartFormat>
    <chartFormat chart="1" format="7">
      <pivotArea type="data" outline="0" fieldPosition="0">
        <references count="2">
          <reference field="4294967294" count="1" selected="0">
            <x v="0"/>
          </reference>
          <reference field="10"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337C8543-E4CF-DC4D-B51B-D6D58EFCE784}" name="Tabella pivot1" cacheId="21" applyNumberFormats="0" applyBorderFormats="0" applyFontFormats="0" applyPatternFormats="0" applyAlignmentFormats="0" applyWidthHeightFormats="1" dataCaption="Valori" grandTotalCaption="Total" updatedVersion="8" minRefreshableVersion="3" useAutoFormatting="1" itemPrintTitles="1" createdVersion="8" indent="0" compact="0" compactData="0" multipleFieldFilters="0" rowHeaderCaption="Age_Group">
  <location ref="B3:F8" firstHeaderRow="0" firstDataRow="1" firstDataCol="1"/>
  <pivotFields count="14">
    <pivotField dataField="1" compact="0" outline="0" showAll="0"/>
    <pivotField compact="0" outline="0" showAll="0"/>
    <pivotField compact="0" outline="0" showAll="0"/>
    <pivotField dataField="1" compact="0" outline="0" showAll="0"/>
    <pivotField compact="0" outline="0" showAll="0"/>
    <pivotField compact="0" outline="0" showAll="0"/>
    <pivotField dataField="1" compact="0" outline="0" showAll="0"/>
    <pivotField dataField="1" compact="0" outline="0" showAll="0"/>
    <pivotField compact="0" outline="0" showAll="0"/>
    <pivotField compact="0" numFmtId="164" outline="0" showAll="0"/>
    <pivotField compact="0" outline="0" showAll="0"/>
    <pivotField compact="0" outline="0" showAll="0"/>
    <pivotField axis="axisRow" compact="0" outline="0" showAll="0">
      <items count="5">
        <item x="1"/>
        <item x="3"/>
        <item x="2"/>
        <item x="0"/>
        <item t="default"/>
      </items>
    </pivotField>
    <pivotField compact="0" outline="0" showAll="0"/>
  </pivotFields>
  <rowFields count="1">
    <field x="12"/>
  </rowFields>
  <rowItems count="5">
    <i>
      <x/>
    </i>
    <i>
      <x v="1"/>
    </i>
    <i>
      <x v="2"/>
    </i>
    <i>
      <x v="3"/>
    </i>
    <i t="grand">
      <x/>
    </i>
  </rowItems>
  <colFields count="1">
    <field x="-2"/>
  </colFields>
  <colItems count="4">
    <i>
      <x/>
    </i>
    <i i="1">
      <x v="1"/>
    </i>
    <i i="2">
      <x v="2"/>
    </i>
    <i i="3">
      <x v="3"/>
    </i>
  </colItems>
  <dataFields count="4">
    <dataField name="Purchase_Flag (Sum)" fld="6" baseField="0" baseItem="0"/>
    <dataField name="Contact_Cost_Sum (€)" fld="7" baseField="0" baseItem="0"/>
    <dataField name="Total_Spent_Sum (€)" fld="3" baseField="0" baseItem="0"/>
    <dataField name="Client_ID (Count)" fld="0" subtotal="count" baseField="0" baseItem="0"/>
  </dataFields>
  <formats count="6">
    <format dxfId="23">
      <pivotArea type="all" dataOnly="0" outline="0" fieldPosition="0"/>
    </format>
    <format dxfId="22">
      <pivotArea outline="0" collapsedLevelsAreSubtotals="1" fieldPosition="0"/>
    </format>
    <format dxfId="21">
      <pivotArea field="12" type="button" dataOnly="0" labelOnly="1" outline="0" axis="axisRow" fieldPosition="0"/>
    </format>
    <format dxfId="20">
      <pivotArea dataOnly="0" labelOnly="1" outline="0" fieldPosition="0">
        <references count="1">
          <reference field="12" count="0"/>
        </references>
      </pivotArea>
    </format>
    <format dxfId="19">
      <pivotArea dataOnly="0" labelOnly="1" grandRow="1" outline="0" fieldPosition="0"/>
    </format>
    <format dxfId="18">
      <pivotArea dataOnly="0" labelOnly="1" outline="0" fieldPosition="0">
        <references count="1">
          <reference field="4294967294" count="4">
            <x v="0"/>
            <x v="1"/>
            <x v="2"/>
            <x v="3"/>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D9FB9D2B-1199-7E4E-9DCA-F6623C989783}" name="Tabella pivot2" cacheId="21" applyNumberFormats="0" applyBorderFormats="0" applyFontFormats="0" applyPatternFormats="0" applyAlignmentFormats="0" applyWidthHeightFormats="1" dataCaption="Valori" grandTotalCaption="Total" updatedVersion="8" minRefreshableVersion="3" useAutoFormatting="1" itemPrintTitles="1" createdVersion="8" indent="0" compact="0" compactData="0" multipleFieldFilters="0" chartFormat="2" rowHeaderCaption="Regions" colHeaderCaption="Age_Group">
  <location ref="B3:G25" firstHeaderRow="1" firstDataRow="2" firstDataCol="1"/>
  <pivotFields count="14">
    <pivotField compact="0" outline="0" showAll="0"/>
    <pivotField compact="0" outline="0" showAll="0"/>
    <pivotField axis="axisRow" compact="0" outline="0" showAll="0" sortType="descending">
      <items count="21">
        <item x="0"/>
        <item x="1"/>
        <item x="12"/>
        <item x="2"/>
        <item x="11"/>
        <item x="4"/>
        <item x="9"/>
        <item x="3"/>
        <item x="15"/>
        <item x="13"/>
        <item x="16"/>
        <item x="19"/>
        <item x="8"/>
        <item x="18"/>
        <item x="14"/>
        <item x="7"/>
        <item x="10"/>
        <item x="5"/>
        <item x="6"/>
        <item x="17"/>
        <item t="default"/>
      </items>
      <autoSortScope>
        <pivotArea dataOnly="0" outline="0" fieldPosition="0">
          <references count="1">
            <reference field="4294967294" count="1" selected="0">
              <x v="0"/>
            </reference>
          </references>
        </pivotArea>
      </autoSortScope>
    </pivotField>
    <pivotField dataField="1" compact="0" outline="0" showAll="0"/>
    <pivotField compact="0" outline="0" showAll="0"/>
    <pivotField compact="0" outline="0" showAll="0"/>
    <pivotField compact="0" outline="0" showAll="0"/>
    <pivotField compact="0" outline="0" showAll="0"/>
    <pivotField compact="0" outline="0" showAll="0"/>
    <pivotField compact="0" numFmtId="164" outline="0" showAll="0"/>
    <pivotField compact="0" outline="0" showAll="0"/>
    <pivotField compact="0" outline="0" showAll="0"/>
    <pivotField axis="axisCol" compact="0" outline="0" showAll="0">
      <items count="5">
        <item x="1"/>
        <item x="3"/>
        <item x="2"/>
        <item x="0"/>
        <item t="default"/>
      </items>
    </pivotField>
    <pivotField compact="0" outline="0" showAll="0"/>
  </pivotFields>
  <rowFields count="1">
    <field x="2"/>
  </rowFields>
  <rowItems count="21">
    <i>
      <x v="1"/>
    </i>
    <i>
      <x v="4"/>
    </i>
    <i>
      <x v="13"/>
    </i>
    <i>
      <x v="16"/>
    </i>
    <i>
      <x v="6"/>
    </i>
    <i>
      <x v="12"/>
    </i>
    <i>
      <x v="2"/>
    </i>
    <i>
      <x v="10"/>
    </i>
    <i>
      <x v="19"/>
    </i>
    <i>
      <x v="8"/>
    </i>
    <i>
      <x v="9"/>
    </i>
    <i>
      <x v="15"/>
    </i>
    <i>
      <x/>
    </i>
    <i>
      <x v="17"/>
    </i>
    <i>
      <x v="3"/>
    </i>
    <i>
      <x v="7"/>
    </i>
    <i>
      <x v="14"/>
    </i>
    <i>
      <x v="5"/>
    </i>
    <i>
      <x v="11"/>
    </i>
    <i>
      <x v="18"/>
    </i>
    <i t="grand">
      <x/>
    </i>
  </rowItems>
  <colFields count="1">
    <field x="12"/>
  </colFields>
  <colItems count="5">
    <i>
      <x/>
    </i>
    <i>
      <x v="1"/>
    </i>
    <i>
      <x v="2"/>
    </i>
    <i>
      <x v="3"/>
    </i>
    <i t="grand">
      <x/>
    </i>
  </colItems>
  <dataFields count="1">
    <dataField name="Total_Spent_Sum (€)" fld="3" baseField="0" baseItem="0" numFmtId="165"/>
  </dataFields>
  <formats count="12">
    <format dxfId="17">
      <pivotArea type="origin" dataOnly="0" labelOnly="1" outline="0" fieldPosition="0"/>
    </format>
    <format dxfId="16">
      <pivotArea outline="0" collapsedLevelsAreSubtotals="1" fieldPosition="0"/>
    </format>
    <format dxfId="15">
      <pivotArea type="all" dataOnly="0" outline="0" fieldPosition="0"/>
    </format>
    <format dxfId="14">
      <pivotArea outline="0" collapsedLevelsAreSubtotals="1" fieldPosition="0"/>
    </format>
    <format dxfId="13">
      <pivotArea type="origin" dataOnly="0" labelOnly="1" outline="0" fieldPosition="0"/>
    </format>
    <format dxfId="12">
      <pivotArea field="12" type="button" dataOnly="0" labelOnly="1" outline="0" axis="axisCol" fieldPosition="0"/>
    </format>
    <format dxfId="11">
      <pivotArea type="topRight" dataOnly="0" labelOnly="1" outline="0" fieldPosition="0"/>
    </format>
    <format dxfId="10">
      <pivotArea field="2" type="button" dataOnly="0" labelOnly="1" outline="0" axis="axisRow" fieldPosition="0"/>
    </format>
    <format dxfId="9">
      <pivotArea dataOnly="0" labelOnly="1" outline="0" fieldPosition="0">
        <references count="1">
          <reference field="2" count="0"/>
        </references>
      </pivotArea>
    </format>
    <format dxfId="8">
      <pivotArea dataOnly="0" labelOnly="1" grandRow="1" outline="0" fieldPosition="0"/>
    </format>
    <format dxfId="7">
      <pivotArea dataOnly="0" labelOnly="1" outline="0" fieldPosition="0">
        <references count="1">
          <reference field="12" count="0"/>
        </references>
      </pivotArea>
    </format>
    <format dxfId="6">
      <pivotArea dataOnly="0" labelOnly="1" grandCol="1" outline="0" fieldPosition="0"/>
    </format>
  </formats>
  <chartFormats count="4">
    <chartFormat chart="0" format="0" series="1">
      <pivotArea type="data" outline="0" fieldPosition="0">
        <references count="2">
          <reference field="4294967294" count="1" selected="0">
            <x v="0"/>
          </reference>
          <reference field="12" count="1" selected="0">
            <x v="0"/>
          </reference>
        </references>
      </pivotArea>
    </chartFormat>
    <chartFormat chart="0" format="1" series="1">
      <pivotArea type="data" outline="0" fieldPosition="0">
        <references count="2">
          <reference field="4294967294" count="1" selected="0">
            <x v="0"/>
          </reference>
          <reference field="12" count="1" selected="0">
            <x v="1"/>
          </reference>
        </references>
      </pivotArea>
    </chartFormat>
    <chartFormat chart="0" format="2" series="1">
      <pivotArea type="data" outline="0" fieldPosition="0">
        <references count="2">
          <reference field="4294967294" count="1" selected="0">
            <x v="0"/>
          </reference>
          <reference field="12" count="1" selected="0">
            <x v="2"/>
          </reference>
        </references>
      </pivotArea>
    </chartFormat>
    <chartFormat chart="0" format="3" series="1">
      <pivotArea type="data" outline="0" fieldPosition="0">
        <references count="2">
          <reference field="4294967294" count="1" selected="0">
            <x v="0"/>
          </reference>
          <reference field="12"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ECEF32F4-2640-FE4E-9AD7-6634A32C9927}" name="Tabella pivot3" cacheId="21" applyNumberFormats="0" applyBorderFormats="0" applyFontFormats="0" applyPatternFormats="0" applyAlignmentFormats="0" applyWidthHeightFormats="1" dataCaption="Valori" grandTotalCaption="Total" updatedVersion="8" minRefreshableVersion="3" useAutoFormatting="1" itemPrintTitles="1" createdVersion="8" indent="0" compact="0" compactData="0" multipleFieldFilters="0" chartFormat="2" rowHeaderCaption="Age_Group">
  <location ref="B3:D7" firstHeaderRow="0" firstDataRow="1" firstDataCol="1"/>
  <pivotFields count="14">
    <pivotField compact="0" outline="0" showAll="0"/>
    <pivotField compact="0" outline="0" showAll="0"/>
    <pivotField compact="0" outline="0" showAll="0"/>
    <pivotField dataField="1" compact="0" outline="0" showAll="0"/>
    <pivotField compact="0" outline="0" showAll="0"/>
    <pivotField compact="0" outline="0" showAll="0"/>
    <pivotField compact="0" outline="0" showAll="0"/>
    <pivotField dataField="1" compact="0" outline="0" showAll="0"/>
    <pivotField compact="0" outline="0" showAll="0"/>
    <pivotField compact="0" numFmtId="164" outline="0" showAll="0"/>
    <pivotField compact="0" outline="0" showAll="0"/>
    <pivotField compact="0" outline="0" showAll="0"/>
    <pivotField compact="0" outline="0" showAll="0">
      <items count="5">
        <item x="1"/>
        <item x="3"/>
        <item x="2"/>
        <item x="0"/>
        <item t="default"/>
      </items>
    </pivotField>
    <pivotField axis="axisRow" compact="0" outline="0" showAll="0">
      <items count="4">
        <item x="2"/>
        <item x="0"/>
        <item x="1"/>
        <item t="default"/>
      </items>
    </pivotField>
  </pivotFields>
  <rowFields count="1">
    <field x="13"/>
  </rowFields>
  <rowItems count="4">
    <i>
      <x/>
    </i>
    <i>
      <x v="1"/>
    </i>
    <i>
      <x v="2"/>
    </i>
    <i t="grand">
      <x/>
    </i>
  </rowItems>
  <colFields count="1">
    <field x="-2"/>
  </colFields>
  <colItems count="2">
    <i>
      <x/>
    </i>
    <i i="1">
      <x v="1"/>
    </i>
  </colItems>
  <dataFields count="2">
    <dataField name="Contact_Cost_Sum(€)" fld="7" baseField="0" baseItem="0"/>
    <dataField name="Total_Spent_Sum (€)" fld="3" baseField="0" baseItem="0"/>
  </dataFields>
  <formats count="6">
    <format dxfId="5">
      <pivotArea type="all" dataOnly="0" outline="0" fieldPosition="0"/>
    </format>
    <format dxfId="4">
      <pivotArea outline="0" collapsedLevelsAreSubtotals="1" fieldPosition="0"/>
    </format>
    <format dxfId="3">
      <pivotArea field="13" type="button" dataOnly="0" labelOnly="1" outline="0" axis="axisRow" fieldPosition="0"/>
    </format>
    <format dxfId="2">
      <pivotArea dataOnly="0" labelOnly="1" outline="0" fieldPosition="0">
        <references count="1">
          <reference field="13" count="0"/>
        </references>
      </pivotArea>
    </format>
    <format dxfId="1">
      <pivotArea dataOnly="0" labelOnly="1" grandRow="1" outline="0" fieldPosition="0"/>
    </format>
    <format dxfId="0">
      <pivotArea dataOnly="0" labelOnly="1" outline="0" fieldPosition="0">
        <references count="1">
          <reference field="4294967294" count="2">
            <x v="0"/>
            <x v="1"/>
          </reference>
        </references>
      </pivotArea>
    </format>
  </formats>
  <chartFormats count="2">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169EB948-C34E-3F49-9114-EBE0770199EB}" name="Dataset" displayName="Dataset" ref="A1:N501" totalsRowShown="0" headerRowDxfId="47" dataDxfId="45" headerRowBorderDxfId="46" tableBorderDxfId="44">
  <autoFilter ref="A1:N501" xr:uid="{169EB948-C34E-3F49-9114-EBE0770199EB}"/>
  <tableColumns count="14">
    <tableColumn id="1" xr3:uid="{C8A68293-6861-CB44-977C-DDFEEEE9F106}" name="Client_ID" dataDxfId="43"/>
    <tableColumn id="2" xr3:uid="{648AF26A-B2F8-2242-84EF-718661C1D172}" name="Age" dataDxfId="42"/>
    <tableColumn id="3" xr3:uid="{D8C90424-36AD-DE4D-85B1-DA3CBED99D81}" name="Region" dataDxfId="41"/>
    <tableColumn id="4" xr3:uid="{90E33EF2-5853-6D45-B64A-C7330D33DDF6}" name="Total_Spent (€)" dataDxfId="40"/>
    <tableColumn id="5" xr3:uid="{056058BE-A1AD-1140-B96D-D8650E6AB260}" name="Purchase_Date" dataDxfId="39"/>
    <tableColumn id="6" xr3:uid="{278A4C9E-E20F-DC4E-91C7-E5A44905D363}" name="Contact_Date" dataDxfId="38"/>
    <tableColumn id="7" xr3:uid="{11D3E113-3983-C244-B56B-8D798C80744B}" name="Purchase_Flag" dataDxfId="37"/>
    <tableColumn id="8" xr3:uid="{219C4F55-346C-3240-BABC-44D90906C44B}" name="Contact_Cost (€)" dataDxfId="36"/>
    <tableColumn id="9" xr3:uid="{85820CE8-2855-7F47-84CA-A3B655B6925E}" name="Purchase_Month" dataDxfId="35">
      <calculatedColumnFormula>TEXT(Dataset[[#This Row],[Purchase_Date]],"[$-409]mmmm")</calculatedColumnFormula>
    </tableColumn>
    <tableColumn id="10" xr3:uid="{B9957B59-D172-B447-B0DA-87D9B029D4F0}" name="Purchase_Month_Number" dataDxfId="34">
      <calculatedColumnFormula>MONTH(Dataset[[#This Row],[Purchase_Date]])</calculatedColumnFormula>
    </tableColumn>
    <tableColumn id="13" xr3:uid="{844A1B36-C1FA-4A4F-9DE6-15E4DC5E319F}" name="Purchase_Month_Label" dataDxfId="33">
      <calculatedColumnFormula>TEXT(Dataset[[#This Row],[Purchase_Date]],"mm - [$-409]mmmm")</calculatedColumnFormula>
    </tableColumn>
    <tableColumn id="11" xr3:uid="{EB73BD3A-1C0B-6E40-855C-FF76C9F5349F}" name="Purchase_Year" dataDxfId="32">
      <calculatedColumnFormula>IF(Dataset[[#This Row],[Purchase_Date]]="","",YEAR(Dataset[[#This Row],[Purchase_Date]]))</calculatedColumnFormula>
    </tableColumn>
    <tableColumn id="12" xr3:uid="{7C6C7989-134A-EE4E-9820-0CB27525E367}" name="Age_Group" dataDxfId="31">
      <calculatedColumnFormula array="1">_xlfn.IFS(B2&lt;=25, "Young Adults", B2&lt;=35, "Emerging Professionals", B2&lt;=50, "Established Adults", TRUE, "Mature Customers")</calculatedColumnFormula>
    </tableColumn>
    <tableColumn id="14" xr3:uid="{A641CFBF-E404-5E47-BAEC-595C3237BDC5}" name="Spending_Tier" dataDxfId="30">
      <calculatedColumnFormula>IF(Dataset[[#This Row],[Total_Spent (€)]]&lt;10,"Low Spender",IF(Dataset[[#This Row],[Total_Spent (€)]]&lt;25,"Medium Spender","High Spender"))</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Tema di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2.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3.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ivotTable" Target="../pivotTables/pivot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08883A-E279-C040-9965-871EC9795427}">
  <dimension ref="A1:N501"/>
  <sheetViews>
    <sheetView tabSelected="1" zoomScale="75" zoomScaleNormal="82" workbookViewId="0"/>
  </sheetViews>
  <sheetFormatPr baseColWidth="10" defaultRowHeight="16" x14ac:dyDescent="0.2"/>
  <cols>
    <col min="1" max="1" width="15.6640625" bestFit="1" customWidth="1"/>
    <col min="2" max="2" width="11.33203125" bestFit="1" customWidth="1"/>
    <col min="3" max="3" width="18.83203125" bestFit="1" customWidth="1"/>
    <col min="4" max="4" width="20.83203125" bestFit="1" customWidth="1"/>
    <col min="5" max="5" width="18.5" style="11" bestFit="1" customWidth="1"/>
    <col min="6" max="6" width="17.33203125" bestFit="1" customWidth="1"/>
    <col min="7" max="7" width="18" bestFit="1" customWidth="1"/>
    <col min="8" max="8" width="20" bestFit="1" customWidth="1"/>
    <col min="9" max="9" width="19.83203125" bestFit="1" customWidth="1"/>
    <col min="10" max="10" width="30.83203125" bestFit="1" customWidth="1"/>
    <col min="11" max="11" width="28.1640625" bestFit="1" customWidth="1"/>
    <col min="12" max="12" width="20.6640625" bestFit="1" customWidth="1"/>
    <col min="13" max="13" width="26.5" bestFit="1" customWidth="1"/>
    <col min="14" max="14" width="20" bestFit="1" customWidth="1"/>
  </cols>
  <sheetData>
    <row r="1" spans="1:14" x14ac:dyDescent="0.2">
      <c r="A1" s="8" t="s">
        <v>833</v>
      </c>
      <c r="B1" s="8" t="s">
        <v>834</v>
      </c>
      <c r="C1" s="8" t="s">
        <v>835</v>
      </c>
      <c r="D1" s="8" t="s">
        <v>837</v>
      </c>
      <c r="E1" s="10" t="s">
        <v>836</v>
      </c>
      <c r="F1" s="8" t="s">
        <v>838</v>
      </c>
      <c r="G1" s="8" t="s">
        <v>839</v>
      </c>
      <c r="H1" s="8" t="s">
        <v>855</v>
      </c>
      <c r="I1" s="9" t="s">
        <v>849</v>
      </c>
      <c r="J1" s="9" t="s">
        <v>851</v>
      </c>
      <c r="K1" s="9" t="s">
        <v>881</v>
      </c>
      <c r="L1" s="9" t="s">
        <v>848</v>
      </c>
      <c r="M1" s="9" t="s">
        <v>850</v>
      </c>
      <c r="N1" s="9" t="s">
        <v>953</v>
      </c>
    </row>
    <row r="2" spans="1:14" x14ac:dyDescent="0.2">
      <c r="A2" s="14" t="s">
        <v>832</v>
      </c>
      <c r="B2" s="11">
        <v>25</v>
      </c>
      <c r="C2" s="11" t="s">
        <v>86</v>
      </c>
      <c r="D2" s="11"/>
      <c r="F2" s="11" t="s">
        <v>339</v>
      </c>
      <c r="G2" s="11">
        <v>0</v>
      </c>
      <c r="H2" s="11">
        <v>4.82</v>
      </c>
      <c r="I2" s="11" t="str">
        <f>TEXT(Dataset[[#This Row],[Purchase_Date]],"[$-409]mmmm")</f>
        <v>January</v>
      </c>
      <c r="J2" s="12">
        <f>MONTH(Dataset[[#This Row],[Purchase_Date]])</f>
        <v>1</v>
      </c>
      <c r="K2" s="13" t="str">
        <f>TEXT(Dataset[[#This Row],[Purchase_Date]],"mm - [$-409]mmmm")</f>
        <v>01 - January</v>
      </c>
      <c r="L2" s="11" t="str">
        <f>IF(Dataset[[#This Row],[Purchase_Date]]="","",YEAR(Dataset[[#This Row],[Purchase_Date]]))</f>
        <v/>
      </c>
      <c r="M2" s="11" t="str" cm="1">
        <f t="array" ref="M2">_xlfn.IFS(B2&lt;=25, "Young Adults", B2&lt;=35, "Emerging Professionals", B2&lt;=50, "Established Adults", TRUE, "Mature Customers")</f>
        <v>Young Adults</v>
      </c>
      <c r="N2" s="11" t="str">
        <f>IF(Dataset[[#This Row],[Total_Spent (€)]]&lt;10,"Low Spender",IF(Dataset[[#This Row],[Total_Spent (€)]]&lt;25,"Medium Spender","High Spender"))</f>
        <v>Low Spender</v>
      </c>
    </row>
    <row r="3" spans="1:14" x14ac:dyDescent="0.2">
      <c r="A3" s="14" t="s">
        <v>831</v>
      </c>
      <c r="B3" s="11">
        <v>29</v>
      </c>
      <c r="C3" s="11" t="s">
        <v>847</v>
      </c>
      <c r="D3" s="11"/>
      <c r="F3" s="11" t="s">
        <v>200</v>
      </c>
      <c r="G3" s="11">
        <v>0</v>
      </c>
      <c r="H3" s="11">
        <v>4</v>
      </c>
      <c r="I3" s="11" t="str">
        <f>TEXT(Dataset[[#This Row],[Purchase_Date]],"[$-409]mmmm")</f>
        <v>January</v>
      </c>
      <c r="J3" s="12">
        <f>MONTH(Dataset[[#This Row],[Purchase_Date]])</f>
        <v>1</v>
      </c>
      <c r="K3" s="13" t="str">
        <f>TEXT(Dataset[[#This Row],[Purchase_Date]],"mm - [$-409]mmmm")</f>
        <v>01 - January</v>
      </c>
      <c r="L3" s="11" t="str">
        <f>IF(Dataset[[#This Row],[Purchase_Date]]="","",YEAR(Dataset[[#This Row],[Purchase_Date]]))</f>
        <v/>
      </c>
      <c r="M3" s="11" t="str" cm="1">
        <f t="array" ref="M3">_xlfn.IFS(B3&lt;=25, "Young Adults", B3&lt;=35, "Emerging Professionals", B3&lt;=50, "Established Adults", TRUE, "Mature Customers")</f>
        <v>Emerging Professionals</v>
      </c>
      <c r="N3" s="11" t="str">
        <f>IF(Dataset[[#This Row],[Total_Spent (€)]]&lt;10,"Low Spender",IF(Dataset[[#This Row],[Total_Spent (€)]]&lt;25,"Medium Spender","High Spender"))</f>
        <v>Low Spender</v>
      </c>
    </row>
    <row r="4" spans="1:14" x14ac:dyDescent="0.2">
      <c r="A4" s="14" t="s">
        <v>830</v>
      </c>
      <c r="B4" s="11">
        <v>54</v>
      </c>
      <c r="C4" s="11" t="s">
        <v>17</v>
      </c>
      <c r="D4" s="11"/>
      <c r="F4" s="11" t="s">
        <v>117</v>
      </c>
      <c r="G4" s="11">
        <v>0</v>
      </c>
      <c r="H4" s="11">
        <v>3.4</v>
      </c>
      <c r="I4" s="11" t="str">
        <f>TEXT(Dataset[[#This Row],[Purchase_Date]],"[$-409]mmmm")</f>
        <v>January</v>
      </c>
      <c r="J4" s="12">
        <f>MONTH(Dataset[[#This Row],[Purchase_Date]])</f>
        <v>1</v>
      </c>
      <c r="K4" s="13" t="str">
        <f>TEXT(Dataset[[#This Row],[Purchase_Date]],"mm - [$-409]mmmm")</f>
        <v>01 - January</v>
      </c>
      <c r="L4" s="11" t="str">
        <f>IF(Dataset[[#This Row],[Purchase_Date]]="","",YEAR(Dataset[[#This Row],[Purchase_Date]]))</f>
        <v/>
      </c>
      <c r="M4" s="11" t="str" cm="1">
        <f t="array" ref="M4">_xlfn.IFS(B4&lt;=25, "Young Adults", B4&lt;=35, "Emerging Professionals", B4&lt;=50, "Established Adults", TRUE, "Mature Customers")</f>
        <v>Mature Customers</v>
      </c>
      <c r="N4" s="11" t="str">
        <f>IF(Dataset[[#This Row],[Total_Spent (€)]]&lt;10,"Low Spender",IF(Dataset[[#This Row],[Total_Spent (€)]]&lt;25,"Medium Spender","High Spender"))</f>
        <v>Low Spender</v>
      </c>
    </row>
    <row r="5" spans="1:14" x14ac:dyDescent="0.2">
      <c r="A5" s="14" t="s">
        <v>829</v>
      </c>
      <c r="B5" s="11">
        <v>42</v>
      </c>
      <c r="C5" s="11" t="s">
        <v>13</v>
      </c>
      <c r="D5" s="11"/>
      <c r="F5" s="11" t="s">
        <v>349</v>
      </c>
      <c r="G5" s="11">
        <v>0</v>
      </c>
      <c r="H5" s="11">
        <v>6.02</v>
      </c>
      <c r="I5" s="11" t="str">
        <f>TEXT(Dataset[[#This Row],[Purchase_Date]],"[$-409]mmmm")</f>
        <v>January</v>
      </c>
      <c r="J5" s="12">
        <f>MONTH(Dataset[[#This Row],[Purchase_Date]])</f>
        <v>1</v>
      </c>
      <c r="K5" s="13" t="str">
        <f>TEXT(Dataset[[#This Row],[Purchase_Date]],"mm - [$-409]mmmm")</f>
        <v>01 - January</v>
      </c>
      <c r="L5" s="11" t="str">
        <f>IF(Dataset[[#This Row],[Purchase_Date]]="","",YEAR(Dataset[[#This Row],[Purchase_Date]]))</f>
        <v/>
      </c>
      <c r="M5" s="11" t="str" cm="1">
        <f t="array" ref="M5">_xlfn.IFS(B5&lt;=25, "Young Adults", B5&lt;=35, "Emerging Professionals", B5&lt;=50, "Established Adults", TRUE, "Mature Customers")</f>
        <v>Established Adults</v>
      </c>
      <c r="N5" s="11" t="str">
        <f>IF(Dataset[[#This Row],[Total_Spent (€)]]&lt;10,"Low Spender",IF(Dataset[[#This Row],[Total_Spent (€)]]&lt;25,"Medium Spender","High Spender"))</f>
        <v>Low Spender</v>
      </c>
    </row>
    <row r="6" spans="1:14" x14ac:dyDescent="0.2">
      <c r="A6" s="14" t="s">
        <v>828</v>
      </c>
      <c r="B6" s="11">
        <v>23</v>
      </c>
      <c r="C6" s="11" t="s">
        <v>75</v>
      </c>
      <c r="D6" s="11">
        <v>11.06</v>
      </c>
      <c r="E6" s="11" t="s">
        <v>341</v>
      </c>
      <c r="F6" s="11" t="s">
        <v>196</v>
      </c>
      <c r="G6" s="11">
        <v>1</v>
      </c>
      <c r="H6" s="11">
        <v>2.92</v>
      </c>
      <c r="I6" s="11" t="str">
        <f>TEXT(Dataset[[#This Row],[Purchase_Date]],"[$-409]mmmm")</f>
        <v>January</v>
      </c>
      <c r="J6" s="12">
        <f>MONTH(Dataset[[#This Row],[Purchase_Date]])</f>
        <v>1</v>
      </c>
      <c r="K6" s="13" t="str">
        <f>TEXT(Dataset[[#This Row],[Purchase_Date]],"mm - [$-409]mmmm")</f>
        <v>01 - January</v>
      </c>
      <c r="L6" s="11">
        <f>IF(Dataset[[#This Row],[Purchase_Date]]="","",YEAR(Dataset[[#This Row],[Purchase_Date]]))</f>
        <v>2025</v>
      </c>
      <c r="M6" s="11" t="str" cm="1">
        <f t="array" ref="M6">_xlfn.IFS(B6&lt;=25, "Young Adults", B6&lt;=35, "Emerging Professionals", B6&lt;=50, "Established Adults", TRUE, "Mature Customers")</f>
        <v>Young Adults</v>
      </c>
      <c r="N6" s="11" t="str">
        <f>IF(Dataset[[#This Row],[Total_Spent (€)]]&lt;10,"Low Spender",IF(Dataset[[#This Row],[Total_Spent (€)]]&lt;25,"Medium Spender","High Spender"))</f>
        <v>Medium Spender</v>
      </c>
    </row>
    <row r="7" spans="1:14" x14ac:dyDescent="0.2">
      <c r="A7" s="14" t="s">
        <v>827</v>
      </c>
      <c r="B7" s="11">
        <v>20</v>
      </c>
      <c r="C7" s="11" t="s">
        <v>845</v>
      </c>
      <c r="D7" s="11">
        <v>9.64</v>
      </c>
      <c r="E7" s="11" t="s">
        <v>305</v>
      </c>
      <c r="F7" s="11" t="s">
        <v>305</v>
      </c>
      <c r="G7" s="11">
        <v>1</v>
      </c>
      <c r="H7" s="11">
        <v>7.79</v>
      </c>
      <c r="I7" s="11" t="str">
        <f>TEXT(Dataset[[#This Row],[Purchase_Date]],"[$-409]mmmm")</f>
        <v>May</v>
      </c>
      <c r="J7" s="12">
        <f>MONTH(Dataset[[#This Row],[Purchase_Date]])</f>
        <v>5</v>
      </c>
      <c r="K7" s="13" t="str">
        <f>TEXT(Dataset[[#This Row],[Purchase_Date]],"mm - [$-409]mmmm")</f>
        <v>05 - May</v>
      </c>
      <c r="L7" s="11">
        <f>IF(Dataset[[#This Row],[Purchase_Date]]="","",YEAR(Dataset[[#This Row],[Purchase_Date]]))</f>
        <v>2025</v>
      </c>
      <c r="M7" s="11" t="str" cm="1">
        <f t="array" ref="M7">_xlfn.IFS(B7&lt;=25, "Young Adults", B7&lt;=35, "Emerging Professionals", B7&lt;=50, "Established Adults", TRUE, "Mature Customers")</f>
        <v>Young Adults</v>
      </c>
      <c r="N7" s="11" t="str">
        <f>IF(Dataset[[#This Row],[Total_Spent (€)]]&lt;10,"Low Spender",IF(Dataset[[#This Row],[Total_Spent (€)]]&lt;25,"Medium Spender","High Spender"))</f>
        <v>Low Spender</v>
      </c>
    </row>
    <row r="8" spans="1:14" x14ac:dyDescent="0.2">
      <c r="A8" s="14" t="s">
        <v>826</v>
      </c>
      <c r="B8" s="11">
        <v>45</v>
      </c>
      <c r="C8" s="11" t="s">
        <v>5</v>
      </c>
      <c r="D8" s="11"/>
      <c r="F8" s="11" t="s">
        <v>530</v>
      </c>
      <c r="G8" s="11">
        <v>0</v>
      </c>
      <c r="H8" s="11">
        <v>9.07</v>
      </c>
      <c r="I8" s="11" t="str">
        <f>TEXT(Dataset[[#This Row],[Purchase_Date]],"[$-409]mmmm")</f>
        <v>January</v>
      </c>
      <c r="J8" s="12">
        <f>MONTH(Dataset[[#This Row],[Purchase_Date]])</f>
        <v>1</v>
      </c>
      <c r="K8" s="13" t="str">
        <f>TEXT(Dataset[[#This Row],[Purchase_Date]],"mm - [$-409]mmmm")</f>
        <v>01 - January</v>
      </c>
      <c r="L8" s="11" t="str">
        <f>IF(Dataset[[#This Row],[Purchase_Date]]="","",YEAR(Dataset[[#This Row],[Purchase_Date]]))</f>
        <v/>
      </c>
      <c r="M8" s="11" t="str" cm="1">
        <f t="array" ref="M8">_xlfn.IFS(B8&lt;=25, "Young Adults", B8&lt;=35, "Emerging Professionals", B8&lt;=50, "Established Adults", TRUE, "Mature Customers")</f>
        <v>Established Adults</v>
      </c>
      <c r="N8" s="11" t="str">
        <f>IF(Dataset[[#This Row],[Total_Spent (€)]]&lt;10,"Low Spender",IF(Dataset[[#This Row],[Total_Spent (€)]]&lt;25,"Medium Spender","High Spender"))</f>
        <v>Low Spender</v>
      </c>
    </row>
    <row r="9" spans="1:14" x14ac:dyDescent="0.2">
      <c r="A9" s="14" t="s">
        <v>825</v>
      </c>
      <c r="B9" s="11">
        <v>33</v>
      </c>
      <c r="C9" s="11" t="s">
        <v>844</v>
      </c>
      <c r="D9" s="11">
        <v>21.3</v>
      </c>
      <c r="E9" s="11" t="s">
        <v>238</v>
      </c>
      <c r="F9" s="11" t="s">
        <v>81</v>
      </c>
      <c r="G9" s="11">
        <v>1</v>
      </c>
      <c r="H9" s="11">
        <v>6.68</v>
      </c>
      <c r="I9" s="11" t="str">
        <f>TEXT(Dataset[[#This Row],[Purchase_Date]],"[$-409]mmmm")</f>
        <v>January</v>
      </c>
      <c r="J9" s="12">
        <f>MONTH(Dataset[[#This Row],[Purchase_Date]])</f>
        <v>1</v>
      </c>
      <c r="K9" s="13" t="str">
        <f>TEXT(Dataset[[#This Row],[Purchase_Date]],"mm - [$-409]mmmm")</f>
        <v>01 - January</v>
      </c>
      <c r="L9" s="11">
        <f>IF(Dataset[[#This Row],[Purchase_Date]]="","",YEAR(Dataset[[#This Row],[Purchase_Date]]))</f>
        <v>2025</v>
      </c>
      <c r="M9" s="11" t="str" cm="1">
        <f t="array" ref="M9">_xlfn.IFS(B9&lt;=25, "Young Adults", B9&lt;=35, "Emerging Professionals", B9&lt;=50, "Established Adults", TRUE, "Mature Customers")</f>
        <v>Emerging Professionals</v>
      </c>
      <c r="N9" s="11" t="str">
        <f>IF(Dataset[[#This Row],[Total_Spent (€)]]&lt;10,"Low Spender",IF(Dataset[[#This Row],[Total_Spent (€)]]&lt;25,"Medium Spender","High Spender"))</f>
        <v>Medium Spender</v>
      </c>
    </row>
    <row r="10" spans="1:14" x14ac:dyDescent="0.2">
      <c r="A10" s="14" t="s">
        <v>824</v>
      </c>
      <c r="B10" s="11">
        <v>48</v>
      </c>
      <c r="C10" s="11" t="s">
        <v>845</v>
      </c>
      <c r="D10" s="11"/>
      <c r="F10" s="11" t="s">
        <v>133</v>
      </c>
      <c r="G10" s="11">
        <v>0</v>
      </c>
      <c r="H10" s="11">
        <v>9.0500000000000007</v>
      </c>
      <c r="I10" s="11" t="str">
        <f>TEXT(Dataset[[#This Row],[Purchase_Date]],"[$-409]mmmm")</f>
        <v>January</v>
      </c>
      <c r="J10" s="12">
        <f>MONTH(Dataset[[#This Row],[Purchase_Date]])</f>
        <v>1</v>
      </c>
      <c r="K10" s="13" t="str">
        <f>TEXT(Dataset[[#This Row],[Purchase_Date]],"mm - [$-409]mmmm")</f>
        <v>01 - January</v>
      </c>
      <c r="L10" s="11" t="str">
        <f>IF(Dataset[[#This Row],[Purchase_Date]]="","",YEAR(Dataset[[#This Row],[Purchase_Date]]))</f>
        <v/>
      </c>
      <c r="M10" s="11" t="str" cm="1">
        <f t="array" ref="M10">_xlfn.IFS(B10&lt;=25, "Young Adults", B10&lt;=35, "Emerging Professionals", B10&lt;=50, "Established Adults", TRUE, "Mature Customers")</f>
        <v>Established Adults</v>
      </c>
      <c r="N10" s="11" t="str">
        <f>IF(Dataset[[#This Row],[Total_Spent (€)]]&lt;10,"Low Spender",IF(Dataset[[#This Row],[Total_Spent (€)]]&lt;25,"Medium Spender","High Spender"))</f>
        <v>Low Spender</v>
      </c>
    </row>
    <row r="11" spans="1:14" x14ac:dyDescent="0.2">
      <c r="A11" s="14" t="s">
        <v>823</v>
      </c>
      <c r="B11" s="11">
        <v>44</v>
      </c>
      <c r="C11" s="11" t="s">
        <v>38</v>
      </c>
      <c r="D11" s="11">
        <v>10.06</v>
      </c>
      <c r="E11" s="11" t="s">
        <v>597</v>
      </c>
      <c r="F11" s="11" t="s">
        <v>500</v>
      </c>
      <c r="G11" s="11">
        <v>1</v>
      </c>
      <c r="H11" s="11">
        <v>8.23</v>
      </c>
      <c r="I11" s="11" t="str">
        <f>TEXT(Dataset[[#This Row],[Purchase_Date]],"[$-409]mmmm")</f>
        <v>September</v>
      </c>
      <c r="J11" s="12">
        <f>MONTH(Dataset[[#This Row],[Purchase_Date]])</f>
        <v>9</v>
      </c>
      <c r="K11" s="13" t="str">
        <f>TEXT(Dataset[[#This Row],[Purchase_Date]],"mm - [$-409]mmmm")</f>
        <v>09 - September</v>
      </c>
      <c r="L11" s="11">
        <f>IF(Dataset[[#This Row],[Purchase_Date]]="","",YEAR(Dataset[[#This Row],[Purchase_Date]]))</f>
        <v>2024</v>
      </c>
      <c r="M11" s="11" t="str" cm="1">
        <f t="array" ref="M11">_xlfn.IFS(B11&lt;=25, "Young Adults", B11&lt;=35, "Emerging Professionals", B11&lt;=50, "Established Adults", TRUE, "Mature Customers")</f>
        <v>Established Adults</v>
      </c>
      <c r="N11" s="11" t="str">
        <f>IF(Dataset[[#This Row],[Total_Spent (€)]]&lt;10,"Low Spender",IF(Dataset[[#This Row],[Total_Spent (€)]]&lt;25,"Medium Spender","High Spender"))</f>
        <v>Medium Spender</v>
      </c>
    </row>
    <row r="12" spans="1:14" x14ac:dyDescent="0.2">
      <c r="A12" s="14" t="s">
        <v>822</v>
      </c>
      <c r="B12" s="11">
        <v>47</v>
      </c>
      <c r="C12" s="11" t="s">
        <v>17</v>
      </c>
      <c r="D12" s="11">
        <v>16.940000000000001</v>
      </c>
      <c r="E12" s="11" t="s">
        <v>730</v>
      </c>
      <c r="F12" s="11" t="s">
        <v>71</v>
      </c>
      <c r="G12" s="11">
        <v>1</v>
      </c>
      <c r="H12" s="11">
        <v>2.41</v>
      </c>
      <c r="I12" s="11" t="str">
        <f>TEXT(Dataset[[#This Row],[Purchase_Date]],"[$-409]mmmm")</f>
        <v>February</v>
      </c>
      <c r="J12" s="12">
        <f>MONTH(Dataset[[#This Row],[Purchase_Date]])</f>
        <v>2</v>
      </c>
      <c r="K12" s="13" t="str">
        <f>TEXT(Dataset[[#This Row],[Purchase_Date]],"mm - [$-409]mmmm")</f>
        <v>02 - February</v>
      </c>
      <c r="L12" s="11">
        <f>IF(Dataset[[#This Row],[Purchase_Date]]="","",YEAR(Dataset[[#This Row],[Purchase_Date]]))</f>
        <v>2025</v>
      </c>
      <c r="M12" s="11" t="str" cm="1">
        <f t="array" ref="M12">_xlfn.IFS(B12&lt;=25, "Young Adults", B12&lt;=35, "Emerging Professionals", B12&lt;=50, "Established Adults", TRUE, "Mature Customers")</f>
        <v>Established Adults</v>
      </c>
      <c r="N12" s="11" t="str">
        <f>IF(Dataset[[#This Row],[Total_Spent (€)]]&lt;10,"Low Spender",IF(Dataset[[#This Row],[Total_Spent (€)]]&lt;25,"Medium Spender","High Spender"))</f>
        <v>Medium Spender</v>
      </c>
    </row>
    <row r="13" spans="1:14" x14ac:dyDescent="0.2">
      <c r="A13" s="14" t="s">
        <v>821</v>
      </c>
      <c r="B13" s="11">
        <v>42</v>
      </c>
      <c r="C13" s="11" t="s">
        <v>9</v>
      </c>
      <c r="D13" s="11">
        <v>31.74</v>
      </c>
      <c r="E13" s="11" t="s">
        <v>724</v>
      </c>
      <c r="F13" s="11" t="s">
        <v>235</v>
      </c>
      <c r="G13" s="11">
        <v>1</v>
      </c>
      <c r="H13" s="11">
        <v>9.26</v>
      </c>
      <c r="I13" s="11" t="str">
        <f>TEXT(Dataset[[#This Row],[Purchase_Date]],"[$-409]mmmm")</f>
        <v>April</v>
      </c>
      <c r="J13" s="12">
        <f>MONTH(Dataset[[#This Row],[Purchase_Date]])</f>
        <v>4</v>
      </c>
      <c r="K13" s="13" t="str">
        <f>TEXT(Dataset[[#This Row],[Purchase_Date]],"mm - [$-409]mmmm")</f>
        <v>04 - April</v>
      </c>
      <c r="L13" s="11">
        <f>IF(Dataset[[#This Row],[Purchase_Date]]="","",YEAR(Dataset[[#This Row],[Purchase_Date]]))</f>
        <v>2025</v>
      </c>
      <c r="M13" s="11" t="str" cm="1">
        <f t="array" ref="M13">_xlfn.IFS(B13&lt;=25, "Young Adults", B13&lt;=35, "Emerging Professionals", B13&lt;=50, "Established Adults", TRUE, "Mature Customers")</f>
        <v>Established Adults</v>
      </c>
      <c r="N13" s="11" t="str">
        <f>IF(Dataset[[#This Row],[Total_Spent (€)]]&lt;10,"Low Spender",IF(Dataset[[#This Row],[Total_Spent (€)]]&lt;25,"Medium Spender","High Spender"))</f>
        <v>High Spender</v>
      </c>
    </row>
    <row r="14" spans="1:14" x14ac:dyDescent="0.2">
      <c r="A14" s="14" t="s">
        <v>820</v>
      </c>
      <c r="B14" s="11">
        <v>39</v>
      </c>
      <c r="C14" s="11" t="s">
        <v>846</v>
      </c>
      <c r="D14" s="11">
        <v>37.090000000000003</v>
      </c>
      <c r="E14" s="11" t="s">
        <v>467</v>
      </c>
      <c r="F14" s="11" t="s">
        <v>54</v>
      </c>
      <c r="G14" s="11">
        <v>1</v>
      </c>
      <c r="H14" s="11">
        <v>4.1399999999999997</v>
      </c>
      <c r="I14" s="11" t="str">
        <f>TEXT(Dataset[[#This Row],[Purchase_Date]],"[$-409]mmmm")</f>
        <v>May</v>
      </c>
      <c r="J14" s="12">
        <f>MONTH(Dataset[[#This Row],[Purchase_Date]])</f>
        <v>5</v>
      </c>
      <c r="K14" s="13" t="str">
        <f>TEXT(Dataset[[#This Row],[Purchase_Date]],"mm - [$-409]mmmm")</f>
        <v>05 - May</v>
      </c>
      <c r="L14" s="11">
        <f>IF(Dataset[[#This Row],[Purchase_Date]]="","",YEAR(Dataset[[#This Row],[Purchase_Date]]))</f>
        <v>2025</v>
      </c>
      <c r="M14" s="11" t="str" cm="1">
        <f t="array" ref="M14">_xlfn.IFS(B14&lt;=25, "Young Adults", B14&lt;=35, "Emerging Professionals", B14&lt;=50, "Established Adults", TRUE, "Mature Customers")</f>
        <v>Established Adults</v>
      </c>
      <c r="N14" s="11" t="str">
        <f>IF(Dataset[[#This Row],[Total_Spent (€)]]&lt;10,"Low Spender",IF(Dataset[[#This Row],[Total_Spent (€)]]&lt;25,"Medium Spender","High Spender"))</f>
        <v>High Spender</v>
      </c>
    </row>
    <row r="15" spans="1:14" x14ac:dyDescent="0.2">
      <c r="A15" s="14" t="s">
        <v>819</v>
      </c>
      <c r="B15" s="11">
        <v>33</v>
      </c>
      <c r="C15" s="11" t="s">
        <v>61</v>
      </c>
      <c r="D15" s="11">
        <v>15.09</v>
      </c>
      <c r="E15" s="11" t="s">
        <v>100</v>
      </c>
      <c r="F15" s="11" t="s">
        <v>83</v>
      </c>
      <c r="G15" s="11">
        <v>1</v>
      </c>
      <c r="H15" s="11">
        <v>2.89</v>
      </c>
      <c r="I15" s="11" t="str">
        <f>TEXT(Dataset[[#This Row],[Purchase_Date]],"[$-409]mmmm")</f>
        <v>July</v>
      </c>
      <c r="J15" s="12">
        <f>MONTH(Dataset[[#This Row],[Purchase_Date]])</f>
        <v>7</v>
      </c>
      <c r="K15" s="13" t="str">
        <f>TEXT(Dataset[[#This Row],[Purchase_Date]],"mm - [$-409]mmmm")</f>
        <v>07 - July</v>
      </c>
      <c r="L15" s="11">
        <f>IF(Dataset[[#This Row],[Purchase_Date]]="","",YEAR(Dataset[[#This Row],[Purchase_Date]]))</f>
        <v>2024</v>
      </c>
      <c r="M15" s="11" t="str" cm="1">
        <f t="array" ref="M15">_xlfn.IFS(B15&lt;=25, "Young Adults", B15&lt;=35, "Emerging Professionals", B15&lt;=50, "Established Adults", TRUE, "Mature Customers")</f>
        <v>Emerging Professionals</v>
      </c>
      <c r="N15" s="11" t="str">
        <f>IF(Dataset[[#This Row],[Total_Spent (€)]]&lt;10,"Low Spender",IF(Dataset[[#This Row],[Total_Spent (€)]]&lt;25,"Medium Spender","High Spender"))</f>
        <v>Medium Spender</v>
      </c>
    </row>
    <row r="16" spans="1:14" x14ac:dyDescent="0.2">
      <c r="A16" s="14" t="s">
        <v>818</v>
      </c>
      <c r="B16" s="11">
        <v>36</v>
      </c>
      <c r="C16" s="11" t="s">
        <v>842</v>
      </c>
      <c r="D16" s="11"/>
      <c r="F16" s="11" t="s">
        <v>600</v>
      </c>
      <c r="G16" s="11">
        <v>0</v>
      </c>
      <c r="H16" s="11">
        <v>5.52</v>
      </c>
      <c r="I16" s="11" t="str">
        <f>TEXT(Dataset[[#This Row],[Purchase_Date]],"[$-409]mmmm")</f>
        <v>January</v>
      </c>
      <c r="J16" s="12">
        <f>MONTH(Dataset[[#This Row],[Purchase_Date]])</f>
        <v>1</v>
      </c>
      <c r="K16" s="13" t="str">
        <f>TEXT(Dataset[[#This Row],[Purchase_Date]],"mm - [$-409]mmmm")</f>
        <v>01 - January</v>
      </c>
      <c r="L16" s="11" t="str">
        <f>IF(Dataset[[#This Row],[Purchase_Date]]="","",YEAR(Dataset[[#This Row],[Purchase_Date]]))</f>
        <v/>
      </c>
      <c r="M16" s="11" t="str" cm="1">
        <f t="array" ref="M16">_xlfn.IFS(B16&lt;=25, "Young Adults", B16&lt;=35, "Emerging Professionals", B16&lt;=50, "Established Adults", TRUE, "Mature Customers")</f>
        <v>Established Adults</v>
      </c>
      <c r="N16" s="11" t="str">
        <f>IF(Dataset[[#This Row],[Total_Spent (€)]]&lt;10,"Low Spender",IF(Dataset[[#This Row],[Total_Spent (€)]]&lt;25,"Medium Spender","High Spender"))</f>
        <v>Low Spender</v>
      </c>
    </row>
    <row r="17" spans="1:14" x14ac:dyDescent="0.2">
      <c r="A17" s="14" t="s">
        <v>817</v>
      </c>
      <c r="B17" s="11">
        <v>46</v>
      </c>
      <c r="C17" s="11" t="s">
        <v>152</v>
      </c>
      <c r="D17" s="11">
        <v>39.130000000000003</v>
      </c>
      <c r="E17" s="11" t="s">
        <v>816</v>
      </c>
      <c r="F17" s="11" t="s">
        <v>440</v>
      </c>
      <c r="G17" s="11">
        <v>1</v>
      </c>
      <c r="H17" s="11">
        <v>2.34</v>
      </c>
      <c r="I17" s="11" t="str">
        <f>TEXT(Dataset[[#This Row],[Purchase_Date]],"[$-409]mmmm")</f>
        <v>November</v>
      </c>
      <c r="J17" s="12">
        <f>MONTH(Dataset[[#This Row],[Purchase_Date]])</f>
        <v>11</v>
      </c>
      <c r="K17" s="13" t="str">
        <f>TEXT(Dataset[[#This Row],[Purchase_Date]],"mm - [$-409]mmmm")</f>
        <v>11 - November</v>
      </c>
      <c r="L17" s="11">
        <f>IF(Dataset[[#This Row],[Purchase_Date]]="","",YEAR(Dataset[[#This Row],[Purchase_Date]]))</f>
        <v>2024</v>
      </c>
      <c r="M17" s="11" t="str" cm="1">
        <f t="array" ref="M17">_xlfn.IFS(B17&lt;=25, "Young Adults", B17&lt;=35, "Emerging Professionals", B17&lt;=50, "Established Adults", TRUE, "Mature Customers")</f>
        <v>Established Adults</v>
      </c>
      <c r="N17" s="11" t="str">
        <f>IF(Dataset[[#This Row],[Total_Spent (€)]]&lt;10,"Low Spender",IF(Dataset[[#This Row],[Total_Spent (€)]]&lt;25,"Medium Spender","High Spender"))</f>
        <v>High Spender</v>
      </c>
    </row>
    <row r="18" spans="1:14" x14ac:dyDescent="0.2">
      <c r="A18" s="14" t="s">
        <v>815</v>
      </c>
      <c r="B18" s="11">
        <v>30</v>
      </c>
      <c r="C18" s="11" t="s">
        <v>9</v>
      </c>
      <c r="D18" s="11"/>
      <c r="F18" s="11" t="s">
        <v>360</v>
      </c>
      <c r="G18" s="11">
        <v>0</v>
      </c>
      <c r="H18" s="11">
        <v>2.34</v>
      </c>
      <c r="I18" s="11" t="str">
        <f>TEXT(Dataset[[#This Row],[Purchase_Date]],"[$-409]mmmm")</f>
        <v>January</v>
      </c>
      <c r="J18" s="12">
        <f>MONTH(Dataset[[#This Row],[Purchase_Date]])</f>
        <v>1</v>
      </c>
      <c r="K18" s="13" t="str">
        <f>TEXT(Dataset[[#This Row],[Purchase_Date]],"mm - [$-409]mmmm")</f>
        <v>01 - January</v>
      </c>
      <c r="L18" s="11" t="str">
        <f>IF(Dataset[[#This Row],[Purchase_Date]]="","",YEAR(Dataset[[#This Row],[Purchase_Date]]))</f>
        <v/>
      </c>
      <c r="M18" s="11" t="str" cm="1">
        <f t="array" ref="M18">_xlfn.IFS(B18&lt;=25, "Young Adults", B18&lt;=35, "Emerging Professionals", B18&lt;=50, "Established Adults", TRUE, "Mature Customers")</f>
        <v>Emerging Professionals</v>
      </c>
      <c r="N18" s="11" t="str">
        <f>IF(Dataset[[#This Row],[Total_Spent (€)]]&lt;10,"Low Spender",IF(Dataset[[#This Row],[Total_Spent (€)]]&lt;25,"Medium Spender","High Spender"))</f>
        <v>Low Spender</v>
      </c>
    </row>
    <row r="19" spans="1:14" x14ac:dyDescent="0.2">
      <c r="A19" s="14" t="s">
        <v>814</v>
      </c>
      <c r="B19" s="11">
        <v>53</v>
      </c>
      <c r="C19" s="11" t="s">
        <v>17</v>
      </c>
      <c r="D19" s="11"/>
      <c r="F19" s="11" t="s">
        <v>623</v>
      </c>
      <c r="G19" s="11">
        <v>0</v>
      </c>
      <c r="H19" s="11">
        <v>5.66</v>
      </c>
      <c r="I19" s="11" t="str">
        <f>TEXT(Dataset[[#This Row],[Purchase_Date]],"[$-409]mmmm")</f>
        <v>January</v>
      </c>
      <c r="J19" s="12">
        <f>MONTH(Dataset[[#This Row],[Purchase_Date]])</f>
        <v>1</v>
      </c>
      <c r="K19" s="13" t="str">
        <f>TEXT(Dataset[[#This Row],[Purchase_Date]],"mm - [$-409]mmmm")</f>
        <v>01 - January</v>
      </c>
      <c r="L19" s="11" t="str">
        <f>IF(Dataset[[#This Row],[Purchase_Date]]="","",YEAR(Dataset[[#This Row],[Purchase_Date]]))</f>
        <v/>
      </c>
      <c r="M19" s="11" t="str" cm="1">
        <f t="array" ref="M19">_xlfn.IFS(B19&lt;=25, "Young Adults", B19&lt;=35, "Emerging Professionals", B19&lt;=50, "Established Adults", TRUE, "Mature Customers")</f>
        <v>Mature Customers</v>
      </c>
      <c r="N19" s="11" t="str">
        <f>IF(Dataset[[#This Row],[Total_Spent (€)]]&lt;10,"Low Spender",IF(Dataset[[#This Row],[Total_Spent (€)]]&lt;25,"Medium Spender","High Spender"))</f>
        <v>Low Spender</v>
      </c>
    </row>
    <row r="20" spans="1:14" x14ac:dyDescent="0.2">
      <c r="A20" s="14" t="s">
        <v>813</v>
      </c>
      <c r="B20" s="11">
        <v>42</v>
      </c>
      <c r="C20" s="11" t="s">
        <v>843</v>
      </c>
      <c r="D20" s="11">
        <v>14.76</v>
      </c>
      <c r="E20" s="11" t="s">
        <v>25</v>
      </c>
      <c r="F20" s="11" t="s">
        <v>169</v>
      </c>
      <c r="G20" s="11">
        <v>1</v>
      </c>
      <c r="H20" s="11">
        <v>7.95</v>
      </c>
      <c r="I20" s="11" t="str">
        <f>TEXT(Dataset[[#This Row],[Purchase_Date]],"[$-409]mmmm")</f>
        <v>June</v>
      </c>
      <c r="J20" s="12">
        <f>MONTH(Dataset[[#This Row],[Purchase_Date]])</f>
        <v>6</v>
      </c>
      <c r="K20" s="13" t="str">
        <f>TEXT(Dataset[[#This Row],[Purchase_Date]],"mm - [$-409]mmmm")</f>
        <v>06 - June</v>
      </c>
      <c r="L20" s="11">
        <f>IF(Dataset[[#This Row],[Purchase_Date]]="","",YEAR(Dataset[[#This Row],[Purchase_Date]]))</f>
        <v>2024</v>
      </c>
      <c r="M20" s="11" t="str" cm="1">
        <f t="array" ref="M20">_xlfn.IFS(B20&lt;=25, "Young Adults", B20&lt;=35, "Emerging Professionals", B20&lt;=50, "Established Adults", TRUE, "Mature Customers")</f>
        <v>Established Adults</v>
      </c>
      <c r="N20" s="11" t="str">
        <f>IF(Dataset[[#This Row],[Total_Spent (€)]]&lt;10,"Low Spender",IF(Dataset[[#This Row],[Total_Spent (€)]]&lt;25,"Medium Spender","High Spender"))</f>
        <v>Medium Spender</v>
      </c>
    </row>
    <row r="21" spans="1:14" x14ac:dyDescent="0.2">
      <c r="A21" s="14" t="s">
        <v>812</v>
      </c>
      <c r="B21" s="11">
        <v>25</v>
      </c>
      <c r="C21" s="11" t="s">
        <v>20</v>
      </c>
      <c r="D21" s="11">
        <v>16.239999999999998</v>
      </c>
      <c r="E21" s="11" t="s">
        <v>703</v>
      </c>
      <c r="F21" s="11" t="s">
        <v>811</v>
      </c>
      <c r="G21" s="11">
        <v>1</v>
      </c>
      <c r="H21" s="11">
        <v>7.71</v>
      </c>
      <c r="I21" s="11" t="str">
        <f>TEXT(Dataset[[#This Row],[Purchase_Date]],"[$-409]mmmm")</f>
        <v>December</v>
      </c>
      <c r="J21" s="12">
        <f>MONTH(Dataset[[#This Row],[Purchase_Date]])</f>
        <v>12</v>
      </c>
      <c r="K21" s="13" t="str">
        <f>TEXT(Dataset[[#This Row],[Purchase_Date]],"mm - [$-409]mmmm")</f>
        <v>12 - December</v>
      </c>
      <c r="L21" s="11">
        <f>IF(Dataset[[#This Row],[Purchase_Date]]="","",YEAR(Dataset[[#This Row],[Purchase_Date]]))</f>
        <v>2024</v>
      </c>
      <c r="M21" s="11" t="str" cm="1">
        <f t="array" ref="M21">_xlfn.IFS(B21&lt;=25, "Young Adults", B21&lt;=35, "Emerging Professionals", B21&lt;=50, "Established Adults", TRUE, "Mature Customers")</f>
        <v>Young Adults</v>
      </c>
      <c r="N21" s="11" t="str">
        <f>IF(Dataset[[#This Row],[Total_Spent (€)]]&lt;10,"Low Spender",IF(Dataset[[#This Row],[Total_Spent (€)]]&lt;25,"Medium Spender","High Spender"))</f>
        <v>Medium Spender</v>
      </c>
    </row>
    <row r="22" spans="1:14" x14ac:dyDescent="0.2">
      <c r="A22" s="14" t="s">
        <v>810</v>
      </c>
      <c r="B22" s="11">
        <v>42</v>
      </c>
      <c r="C22" s="11" t="s">
        <v>844</v>
      </c>
      <c r="D22" s="11">
        <v>19.13</v>
      </c>
      <c r="E22" s="11" t="s">
        <v>600</v>
      </c>
      <c r="F22" s="11" t="s">
        <v>600</v>
      </c>
      <c r="G22" s="11">
        <v>1</v>
      </c>
      <c r="H22" s="11">
        <v>8.5399999999999991</v>
      </c>
      <c r="I22" s="11" t="str">
        <f>TEXT(Dataset[[#This Row],[Purchase_Date]],"[$-409]mmmm")</f>
        <v>March</v>
      </c>
      <c r="J22" s="12">
        <f>MONTH(Dataset[[#This Row],[Purchase_Date]])</f>
        <v>3</v>
      </c>
      <c r="K22" s="13" t="str">
        <f>TEXT(Dataset[[#This Row],[Purchase_Date]],"mm - [$-409]mmmm")</f>
        <v>03 - March</v>
      </c>
      <c r="L22" s="11">
        <f>IF(Dataset[[#This Row],[Purchase_Date]]="","",YEAR(Dataset[[#This Row],[Purchase_Date]]))</f>
        <v>2025</v>
      </c>
      <c r="M22" s="11" t="str" cm="1">
        <f t="array" ref="M22">_xlfn.IFS(B22&lt;=25, "Young Adults", B22&lt;=35, "Emerging Professionals", B22&lt;=50, "Established Adults", TRUE, "Mature Customers")</f>
        <v>Established Adults</v>
      </c>
      <c r="N22" s="11" t="str">
        <f>IF(Dataset[[#This Row],[Total_Spent (€)]]&lt;10,"Low Spender",IF(Dataset[[#This Row],[Total_Spent (€)]]&lt;25,"Medium Spender","High Spender"))</f>
        <v>Medium Spender</v>
      </c>
    </row>
    <row r="23" spans="1:14" x14ac:dyDescent="0.2">
      <c r="A23" s="14" t="s">
        <v>809</v>
      </c>
      <c r="B23" s="11">
        <v>54</v>
      </c>
      <c r="C23" s="11" t="s">
        <v>9</v>
      </c>
      <c r="D23" s="11"/>
      <c r="F23" s="11" t="s">
        <v>88</v>
      </c>
      <c r="G23" s="11">
        <v>0</v>
      </c>
      <c r="H23" s="11">
        <v>9.6199999999999992</v>
      </c>
      <c r="I23" s="11" t="str">
        <f>TEXT(Dataset[[#This Row],[Purchase_Date]],"[$-409]mmmm")</f>
        <v>January</v>
      </c>
      <c r="J23" s="12">
        <f>MONTH(Dataset[[#This Row],[Purchase_Date]])</f>
        <v>1</v>
      </c>
      <c r="K23" s="13" t="str">
        <f>TEXT(Dataset[[#This Row],[Purchase_Date]],"mm - [$-409]mmmm")</f>
        <v>01 - January</v>
      </c>
      <c r="L23" s="11" t="str">
        <f>IF(Dataset[[#This Row],[Purchase_Date]]="","",YEAR(Dataset[[#This Row],[Purchase_Date]]))</f>
        <v/>
      </c>
      <c r="M23" s="11" t="str" cm="1">
        <f t="array" ref="M23">_xlfn.IFS(B23&lt;=25, "Young Adults", B23&lt;=35, "Emerging Professionals", B23&lt;=50, "Established Adults", TRUE, "Mature Customers")</f>
        <v>Mature Customers</v>
      </c>
      <c r="N23" s="11" t="str">
        <f>IF(Dataset[[#This Row],[Total_Spent (€)]]&lt;10,"Low Spender",IF(Dataset[[#This Row],[Total_Spent (€)]]&lt;25,"Medium Spender","High Spender"))</f>
        <v>Low Spender</v>
      </c>
    </row>
    <row r="24" spans="1:14" x14ac:dyDescent="0.2">
      <c r="A24" s="14" t="s">
        <v>808</v>
      </c>
      <c r="B24" s="11">
        <v>21</v>
      </c>
      <c r="C24" s="11" t="s">
        <v>17</v>
      </c>
      <c r="D24" s="11">
        <v>12.65</v>
      </c>
      <c r="E24" s="11" t="s">
        <v>533</v>
      </c>
      <c r="F24" s="11" t="s">
        <v>623</v>
      </c>
      <c r="G24" s="11">
        <v>1</v>
      </c>
      <c r="H24" s="11">
        <v>3.56</v>
      </c>
      <c r="I24" s="11" t="str">
        <f>TEXT(Dataset[[#This Row],[Purchase_Date]],"[$-409]mmmm")</f>
        <v>October</v>
      </c>
      <c r="J24" s="12">
        <f>MONTH(Dataset[[#This Row],[Purchase_Date]])</f>
        <v>10</v>
      </c>
      <c r="K24" s="13" t="str">
        <f>TEXT(Dataset[[#This Row],[Purchase_Date]],"mm - [$-409]mmmm")</f>
        <v>10 - October</v>
      </c>
      <c r="L24" s="11">
        <f>IF(Dataset[[#This Row],[Purchase_Date]]="","",YEAR(Dataset[[#This Row],[Purchase_Date]]))</f>
        <v>2024</v>
      </c>
      <c r="M24" s="11" t="str" cm="1">
        <f t="array" ref="M24">_xlfn.IFS(B24&lt;=25, "Young Adults", B24&lt;=35, "Emerging Professionals", B24&lt;=50, "Established Adults", TRUE, "Mature Customers")</f>
        <v>Young Adults</v>
      </c>
      <c r="N24" s="11" t="str">
        <f>IF(Dataset[[#This Row],[Total_Spent (€)]]&lt;10,"Low Spender",IF(Dataset[[#This Row],[Total_Spent (€)]]&lt;25,"Medium Spender","High Spender"))</f>
        <v>Medium Spender</v>
      </c>
    </row>
    <row r="25" spans="1:14" x14ac:dyDescent="0.2">
      <c r="A25" s="14" t="s">
        <v>807</v>
      </c>
      <c r="B25" s="11">
        <v>19</v>
      </c>
      <c r="C25" s="11" t="s">
        <v>847</v>
      </c>
      <c r="D25" s="11">
        <v>21.85</v>
      </c>
      <c r="E25" s="11" t="s">
        <v>151</v>
      </c>
      <c r="F25" s="11" t="s">
        <v>538</v>
      </c>
      <c r="G25" s="11">
        <v>1</v>
      </c>
      <c r="H25" s="11">
        <v>7.91</v>
      </c>
      <c r="I25" s="11" t="str">
        <f>TEXT(Dataset[[#This Row],[Purchase_Date]],"[$-409]mmmm")</f>
        <v>February</v>
      </c>
      <c r="J25" s="12">
        <f>MONTH(Dataset[[#This Row],[Purchase_Date]])</f>
        <v>2</v>
      </c>
      <c r="K25" s="13" t="str">
        <f>TEXT(Dataset[[#This Row],[Purchase_Date]],"mm - [$-409]mmmm")</f>
        <v>02 - February</v>
      </c>
      <c r="L25" s="11">
        <f>IF(Dataset[[#This Row],[Purchase_Date]]="","",YEAR(Dataset[[#This Row],[Purchase_Date]]))</f>
        <v>2025</v>
      </c>
      <c r="M25" s="11" t="str" cm="1">
        <f t="array" ref="M25">_xlfn.IFS(B25&lt;=25, "Young Adults", B25&lt;=35, "Emerging Professionals", B25&lt;=50, "Established Adults", TRUE, "Mature Customers")</f>
        <v>Young Adults</v>
      </c>
      <c r="N25" s="11" t="str">
        <f>IF(Dataset[[#This Row],[Total_Spent (€)]]&lt;10,"Low Spender",IF(Dataset[[#This Row],[Total_Spent (€)]]&lt;25,"Medium Spender","High Spender"))</f>
        <v>Medium Spender</v>
      </c>
    </row>
    <row r="26" spans="1:14" x14ac:dyDescent="0.2">
      <c r="A26" s="14" t="s">
        <v>806</v>
      </c>
      <c r="B26" s="11">
        <v>37</v>
      </c>
      <c r="C26" s="11" t="s">
        <v>842</v>
      </c>
      <c r="D26" s="11">
        <v>22.87</v>
      </c>
      <c r="E26" s="11" t="s">
        <v>11</v>
      </c>
      <c r="F26" s="11" t="s">
        <v>11</v>
      </c>
      <c r="G26" s="11">
        <v>1</v>
      </c>
      <c r="H26" s="11">
        <v>9.14</v>
      </c>
      <c r="I26" s="11" t="str">
        <f>TEXT(Dataset[[#This Row],[Purchase_Date]],"[$-409]mmmm")</f>
        <v>November</v>
      </c>
      <c r="J26" s="12">
        <f>MONTH(Dataset[[#This Row],[Purchase_Date]])</f>
        <v>11</v>
      </c>
      <c r="K26" s="13" t="str">
        <f>TEXT(Dataset[[#This Row],[Purchase_Date]],"mm - [$-409]mmmm")</f>
        <v>11 - November</v>
      </c>
      <c r="L26" s="11">
        <f>IF(Dataset[[#This Row],[Purchase_Date]]="","",YEAR(Dataset[[#This Row],[Purchase_Date]]))</f>
        <v>2024</v>
      </c>
      <c r="M26" s="11" t="str" cm="1">
        <f t="array" ref="M26">_xlfn.IFS(B26&lt;=25, "Young Adults", B26&lt;=35, "Emerging Professionals", B26&lt;=50, "Established Adults", TRUE, "Mature Customers")</f>
        <v>Established Adults</v>
      </c>
      <c r="N26" s="11" t="str">
        <f>IF(Dataset[[#This Row],[Total_Spent (€)]]&lt;10,"Low Spender",IF(Dataset[[#This Row],[Total_Spent (€)]]&lt;25,"Medium Spender","High Spender"))</f>
        <v>Medium Spender</v>
      </c>
    </row>
    <row r="27" spans="1:14" x14ac:dyDescent="0.2">
      <c r="A27" s="14" t="s">
        <v>805</v>
      </c>
      <c r="B27" s="11">
        <v>26</v>
      </c>
      <c r="C27" s="11" t="s">
        <v>846</v>
      </c>
      <c r="D27" s="11"/>
      <c r="F27" s="11" t="s">
        <v>373</v>
      </c>
      <c r="G27" s="11">
        <v>0</v>
      </c>
      <c r="H27" s="11">
        <v>4.1399999999999997</v>
      </c>
      <c r="I27" s="11" t="str">
        <f>TEXT(Dataset[[#This Row],[Purchase_Date]],"[$-409]mmmm")</f>
        <v>January</v>
      </c>
      <c r="J27" s="12">
        <f>MONTH(Dataset[[#This Row],[Purchase_Date]])</f>
        <v>1</v>
      </c>
      <c r="K27" s="13" t="str">
        <f>TEXT(Dataset[[#This Row],[Purchase_Date]],"mm - [$-409]mmmm")</f>
        <v>01 - January</v>
      </c>
      <c r="L27" s="11" t="str">
        <f>IF(Dataset[[#This Row],[Purchase_Date]]="","",YEAR(Dataset[[#This Row],[Purchase_Date]]))</f>
        <v/>
      </c>
      <c r="M27" s="11" t="str" cm="1">
        <f t="array" ref="M27">_xlfn.IFS(B27&lt;=25, "Young Adults", B27&lt;=35, "Emerging Professionals", B27&lt;=50, "Established Adults", TRUE, "Mature Customers")</f>
        <v>Emerging Professionals</v>
      </c>
      <c r="N27" s="11" t="str">
        <f>IF(Dataset[[#This Row],[Total_Spent (€)]]&lt;10,"Low Spender",IF(Dataset[[#This Row],[Total_Spent (€)]]&lt;25,"Medium Spender","High Spender"))</f>
        <v>Low Spender</v>
      </c>
    </row>
    <row r="28" spans="1:14" x14ac:dyDescent="0.2">
      <c r="A28" s="14" t="s">
        <v>804</v>
      </c>
      <c r="B28" s="11">
        <v>50</v>
      </c>
      <c r="C28" s="11" t="s">
        <v>840</v>
      </c>
      <c r="D28" s="11">
        <v>37.340000000000003</v>
      </c>
      <c r="E28" s="11" t="s">
        <v>265</v>
      </c>
      <c r="F28" s="11" t="s">
        <v>133</v>
      </c>
      <c r="G28" s="11">
        <v>1</v>
      </c>
      <c r="H28" s="11">
        <v>5.05</v>
      </c>
      <c r="I28" s="11" t="str">
        <f>TEXT(Dataset[[#This Row],[Purchase_Date]],"[$-409]mmmm")</f>
        <v>August</v>
      </c>
      <c r="J28" s="12">
        <f>MONTH(Dataset[[#This Row],[Purchase_Date]])</f>
        <v>8</v>
      </c>
      <c r="K28" s="13" t="str">
        <f>TEXT(Dataset[[#This Row],[Purchase_Date]],"mm - [$-409]mmmm")</f>
        <v>08 - August</v>
      </c>
      <c r="L28" s="11">
        <f>IF(Dataset[[#This Row],[Purchase_Date]]="","",YEAR(Dataset[[#This Row],[Purchase_Date]]))</f>
        <v>2024</v>
      </c>
      <c r="M28" s="11" t="str" cm="1">
        <f t="array" ref="M28">_xlfn.IFS(B28&lt;=25, "Young Adults", B28&lt;=35, "Emerging Professionals", B28&lt;=50, "Established Adults", TRUE, "Mature Customers")</f>
        <v>Established Adults</v>
      </c>
      <c r="N28" s="11" t="str">
        <f>IF(Dataset[[#This Row],[Total_Spent (€)]]&lt;10,"Low Spender",IF(Dataset[[#This Row],[Total_Spent (€)]]&lt;25,"Medium Spender","High Spender"))</f>
        <v>High Spender</v>
      </c>
    </row>
    <row r="29" spans="1:14" x14ac:dyDescent="0.2">
      <c r="A29" s="14" t="s">
        <v>803</v>
      </c>
      <c r="B29" s="11">
        <v>39</v>
      </c>
      <c r="C29" s="11" t="s">
        <v>13</v>
      </c>
      <c r="D29" s="11">
        <v>26.28</v>
      </c>
      <c r="E29" s="11" t="s">
        <v>162</v>
      </c>
      <c r="F29" s="11" t="s">
        <v>273</v>
      </c>
      <c r="G29" s="11">
        <v>1</v>
      </c>
      <c r="H29" s="11">
        <v>4.51</v>
      </c>
      <c r="I29" s="11" t="str">
        <f>TEXT(Dataset[[#This Row],[Purchase_Date]],"[$-409]mmmm")</f>
        <v>December</v>
      </c>
      <c r="J29" s="12">
        <f>MONTH(Dataset[[#This Row],[Purchase_Date]])</f>
        <v>12</v>
      </c>
      <c r="K29" s="13" t="str">
        <f>TEXT(Dataset[[#This Row],[Purchase_Date]],"mm - [$-409]mmmm")</f>
        <v>12 - December</v>
      </c>
      <c r="L29" s="11">
        <f>IF(Dataset[[#This Row],[Purchase_Date]]="","",YEAR(Dataset[[#This Row],[Purchase_Date]]))</f>
        <v>2024</v>
      </c>
      <c r="M29" s="11" t="str" cm="1">
        <f t="array" ref="M29">_xlfn.IFS(B29&lt;=25, "Young Adults", B29&lt;=35, "Emerging Professionals", B29&lt;=50, "Established Adults", TRUE, "Mature Customers")</f>
        <v>Established Adults</v>
      </c>
      <c r="N29" s="11" t="str">
        <f>IF(Dataset[[#This Row],[Total_Spent (€)]]&lt;10,"Low Spender",IF(Dataset[[#This Row],[Total_Spent (€)]]&lt;25,"Medium Spender","High Spender"))</f>
        <v>High Spender</v>
      </c>
    </row>
    <row r="30" spans="1:14" x14ac:dyDescent="0.2">
      <c r="A30" s="14" t="s">
        <v>802</v>
      </c>
      <c r="B30" s="11">
        <v>18</v>
      </c>
      <c r="C30" s="11" t="s">
        <v>86</v>
      </c>
      <c r="D30" s="11">
        <v>21.01</v>
      </c>
      <c r="E30" s="11" t="s">
        <v>242</v>
      </c>
      <c r="F30" s="11" t="s">
        <v>252</v>
      </c>
      <c r="G30" s="11">
        <v>1</v>
      </c>
      <c r="H30" s="11">
        <v>4.7300000000000004</v>
      </c>
      <c r="I30" s="11" t="str">
        <f>TEXT(Dataset[[#This Row],[Purchase_Date]],"[$-409]mmmm")</f>
        <v>October</v>
      </c>
      <c r="J30" s="12">
        <f>MONTH(Dataset[[#This Row],[Purchase_Date]])</f>
        <v>10</v>
      </c>
      <c r="K30" s="13" t="str">
        <f>TEXT(Dataset[[#This Row],[Purchase_Date]],"mm - [$-409]mmmm")</f>
        <v>10 - October</v>
      </c>
      <c r="L30" s="11">
        <f>IF(Dataset[[#This Row],[Purchase_Date]]="","",YEAR(Dataset[[#This Row],[Purchase_Date]]))</f>
        <v>2024</v>
      </c>
      <c r="M30" s="11" t="str" cm="1">
        <f t="array" ref="M30">_xlfn.IFS(B30&lt;=25, "Young Adults", B30&lt;=35, "Emerging Professionals", B30&lt;=50, "Established Adults", TRUE, "Mature Customers")</f>
        <v>Young Adults</v>
      </c>
      <c r="N30" s="11" t="str">
        <f>IF(Dataset[[#This Row],[Total_Spent (€)]]&lt;10,"Low Spender",IF(Dataset[[#This Row],[Total_Spent (€)]]&lt;25,"Medium Spender","High Spender"))</f>
        <v>Medium Spender</v>
      </c>
    </row>
    <row r="31" spans="1:14" x14ac:dyDescent="0.2">
      <c r="A31" s="14" t="s">
        <v>801</v>
      </c>
      <c r="B31" s="11">
        <v>37</v>
      </c>
      <c r="C31" s="11" t="s">
        <v>13</v>
      </c>
      <c r="D31" s="11">
        <v>38.840000000000003</v>
      </c>
      <c r="E31" s="11" t="s">
        <v>93</v>
      </c>
      <c r="F31" s="11" t="s">
        <v>454</v>
      </c>
      <c r="G31" s="11">
        <v>1</v>
      </c>
      <c r="H31" s="11">
        <v>8.6</v>
      </c>
      <c r="I31" s="11" t="str">
        <f>TEXT(Dataset[[#This Row],[Purchase_Date]],"[$-409]mmmm")</f>
        <v>September</v>
      </c>
      <c r="J31" s="12">
        <f>MONTH(Dataset[[#This Row],[Purchase_Date]])</f>
        <v>9</v>
      </c>
      <c r="K31" s="13" t="str">
        <f>TEXT(Dataset[[#This Row],[Purchase_Date]],"mm - [$-409]mmmm")</f>
        <v>09 - September</v>
      </c>
      <c r="L31" s="11">
        <f>IF(Dataset[[#This Row],[Purchase_Date]]="","",YEAR(Dataset[[#This Row],[Purchase_Date]]))</f>
        <v>2024</v>
      </c>
      <c r="M31" s="11" t="str" cm="1">
        <f t="array" ref="M31">_xlfn.IFS(B31&lt;=25, "Young Adults", B31&lt;=35, "Emerging Professionals", B31&lt;=50, "Established Adults", TRUE, "Mature Customers")</f>
        <v>Established Adults</v>
      </c>
      <c r="N31" s="11" t="str">
        <f>IF(Dataset[[#This Row],[Total_Spent (€)]]&lt;10,"Low Spender",IF(Dataset[[#This Row],[Total_Spent (€)]]&lt;25,"Medium Spender","High Spender"))</f>
        <v>High Spender</v>
      </c>
    </row>
    <row r="32" spans="1:14" x14ac:dyDescent="0.2">
      <c r="A32" s="14" t="s">
        <v>800</v>
      </c>
      <c r="B32" s="11">
        <v>19</v>
      </c>
      <c r="C32" s="11" t="s">
        <v>847</v>
      </c>
      <c r="D32" s="11">
        <v>16.84</v>
      </c>
      <c r="E32" s="11" t="s">
        <v>799</v>
      </c>
      <c r="F32" s="11" t="s">
        <v>505</v>
      </c>
      <c r="G32" s="11">
        <v>1</v>
      </c>
      <c r="H32" s="11">
        <v>6.04</v>
      </c>
      <c r="I32" s="11" t="str">
        <f>TEXT(Dataset[[#This Row],[Purchase_Date]],"[$-409]mmmm")</f>
        <v>November</v>
      </c>
      <c r="J32" s="12">
        <f>MONTH(Dataset[[#This Row],[Purchase_Date]])</f>
        <v>11</v>
      </c>
      <c r="K32" s="13" t="str">
        <f>TEXT(Dataset[[#This Row],[Purchase_Date]],"mm - [$-409]mmmm")</f>
        <v>11 - November</v>
      </c>
      <c r="L32" s="11">
        <f>IF(Dataset[[#This Row],[Purchase_Date]]="","",YEAR(Dataset[[#This Row],[Purchase_Date]]))</f>
        <v>2024</v>
      </c>
      <c r="M32" s="11" t="str" cm="1">
        <f t="array" ref="M32">_xlfn.IFS(B32&lt;=25, "Young Adults", B32&lt;=35, "Emerging Professionals", B32&lt;=50, "Established Adults", TRUE, "Mature Customers")</f>
        <v>Young Adults</v>
      </c>
      <c r="N32" s="11" t="str">
        <f>IF(Dataset[[#This Row],[Total_Spent (€)]]&lt;10,"Low Spender",IF(Dataset[[#This Row],[Total_Spent (€)]]&lt;25,"Medium Spender","High Spender"))</f>
        <v>Medium Spender</v>
      </c>
    </row>
    <row r="33" spans="1:14" x14ac:dyDescent="0.2">
      <c r="A33" s="14" t="s">
        <v>798</v>
      </c>
      <c r="B33" s="11">
        <v>40</v>
      </c>
      <c r="C33" s="11" t="s">
        <v>75</v>
      </c>
      <c r="D33" s="11"/>
      <c r="F33" s="11" t="s">
        <v>295</v>
      </c>
      <c r="G33" s="11">
        <v>0</v>
      </c>
      <c r="H33" s="11">
        <v>9.27</v>
      </c>
      <c r="I33" s="11" t="str">
        <f>TEXT(Dataset[[#This Row],[Purchase_Date]],"[$-409]mmmm")</f>
        <v>January</v>
      </c>
      <c r="J33" s="12">
        <f>MONTH(Dataset[[#This Row],[Purchase_Date]])</f>
        <v>1</v>
      </c>
      <c r="K33" s="13" t="str">
        <f>TEXT(Dataset[[#This Row],[Purchase_Date]],"mm - [$-409]mmmm")</f>
        <v>01 - January</v>
      </c>
      <c r="L33" s="11" t="str">
        <f>IF(Dataset[[#This Row],[Purchase_Date]]="","",YEAR(Dataset[[#This Row],[Purchase_Date]]))</f>
        <v/>
      </c>
      <c r="M33" s="11" t="str" cm="1">
        <f t="array" ref="M33">_xlfn.IFS(B33&lt;=25, "Young Adults", B33&lt;=35, "Emerging Professionals", B33&lt;=50, "Established Adults", TRUE, "Mature Customers")</f>
        <v>Established Adults</v>
      </c>
      <c r="N33" s="11" t="str">
        <f>IF(Dataset[[#This Row],[Total_Spent (€)]]&lt;10,"Low Spender",IF(Dataset[[#This Row],[Total_Spent (€)]]&lt;25,"Medium Spender","High Spender"))</f>
        <v>Low Spender</v>
      </c>
    </row>
    <row r="34" spans="1:14" x14ac:dyDescent="0.2">
      <c r="A34" s="14" t="s">
        <v>797</v>
      </c>
      <c r="B34" s="11">
        <v>22</v>
      </c>
      <c r="C34" s="11" t="s">
        <v>20</v>
      </c>
      <c r="D34" s="11">
        <v>9.98</v>
      </c>
      <c r="E34" s="11" t="s">
        <v>45</v>
      </c>
      <c r="F34" s="11" t="s">
        <v>242</v>
      </c>
      <c r="G34" s="11">
        <v>1</v>
      </c>
      <c r="H34" s="11">
        <v>8.2799999999999994</v>
      </c>
      <c r="I34" s="11" t="str">
        <f>TEXT(Dataset[[#This Row],[Purchase_Date]],"[$-409]mmmm")</f>
        <v>October</v>
      </c>
      <c r="J34" s="12">
        <f>MONTH(Dataset[[#This Row],[Purchase_Date]])</f>
        <v>10</v>
      </c>
      <c r="K34" s="13" t="str">
        <f>TEXT(Dataset[[#This Row],[Purchase_Date]],"mm - [$-409]mmmm")</f>
        <v>10 - October</v>
      </c>
      <c r="L34" s="11">
        <f>IF(Dataset[[#This Row],[Purchase_Date]]="","",YEAR(Dataset[[#This Row],[Purchase_Date]]))</f>
        <v>2024</v>
      </c>
      <c r="M34" s="11" t="str" cm="1">
        <f t="array" ref="M34">_xlfn.IFS(B34&lt;=25, "Young Adults", B34&lt;=35, "Emerging Professionals", B34&lt;=50, "Established Adults", TRUE, "Mature Customers")</f>
        <v>Young Adults</v>
      </c>
      <c r="N34" s="11" t="str">
        <f>IF(Dataset[[#This Row],[Total_Spent (€)]]&lt;10,"Low Spender",IF(Dataset[[#This Row],[Total_Spent (€)]]&lt;25,"Medium Spender","High Spender"))</f>
        <v>Low Spender</v>
      </c>
    </row>
    <row r="35" spans="1:14" x14ac:dyDescent="0.2">
      <c r="A35" s="14" t="s">
        <v>796</v>
      </c>
      <c r="B35" s="11">
        <v>48</v>
      </c>
      <c r="C35" s="11" t="s">
        <v>75</v>
      </c>
      <c r="D35" s="11"/>
      <c r="F35" s="11" t="s">
        <v>795</v>
      </c>
      <c r="G35" s="11">
        <v>0</v>
      </c>
      <c r="H35" s="11">
        <v>2.44</v>
      </c>
      <c r="I35" s="11" t="str">
        <f>TEXT(Dataset[[#This Row],[Purchase_Date]],"[$-409]mmmm")</f>
        <v>January</v>
      </c>
      <c r="J35" s="12">
        <f>MONTH(Dataset[[#This Row],[Purchase_Date]])</f>
        <v>1</v>
      </c>
      <c r="K35" s="13" t="str">
        <f>TEXT(Dataset[[#This Row],[Purchase_Date]],"mm - [$-409]mmmm")</f>
        <v>01 - January</v>
      </c>
      <c r="L35" s="11" t="str">
        <f>IF(Dataset[[#This Row],[Purchase_Date]]="","",YEAR(Dataset[[#This Row],[Purchase_Date]]))</f>
        <v/>
      </c>
      <c r="M35" s="11" t="str" cm="1">
        <f t="array" ref="M35">_xlfn.IFS(B35&lt;=25, "Young Adults", B35&lt;=35, "Emerging Professionals", B35&lt;=50, "Established Adults", TRUE, "Mature Customers")</f>
        <v>Established Adults</v>
      </c>
      <c r="N35" s="11" t="str">
        <f>IF(Dataset[[#This Row],[Total_Spent (€)]]&lt;10,"Low Spender",IF(Dataset[[#This Row],[Total_Spent (€)]]&lt;25,"Medium Spender","High Spender"))</f>
        <v>Low Spender</v>
      </c>
    </row>
    <row r="36" spans="1:14" x14ac:dyDescent="0.2">
      <c r="A36" s="14" t="s">
        <v>794</v>
      </c>
      <c r="B36" s="11">
        <v>54</v>
      </c>
      <c r="C36" s="11" t="s">
        <v>38</v>
      </c>
      <c r="D36" s="11">
        <v>9.51</v>
      </c>
      <c r="E36" s="11" t="s">
        <v>370</v>
      </c>
      <c r="F36" s="11" t="s">
        <v>370</v>
      </c>
      <c r="G36" s="11">
        <v>1</v>
      </c>
      <c r="H36" s="11">
        <v>3.5</v>
      </c>
      <c r="I36" s="11" t="str">
        <f>TEXT(Dataset[[#This Row],[Purchase_Date]],"[$-409]mmmm")</f>
        <v>May</v>
      </c>
      <c r="J36" s="12">
        <f>MONTH(Dataset[[#This Row],[Purchase_Date]])</f>
        <v>5</v>
      </c>
      <c r="K36" s="13" t="str">
        <f>TEXT(Dataset[[#This Row],[Purchase_Date]],"mm - [$-409]mmmm")</f>
        <v>05 - May</v>
      </c>
      <c r="L36" s="11">
        <f>IF(Dataset[[#This Row],[Purchase_Date]]="","",YEAR(Dataset[[#This Row],[Purchase_Date]]))</f>
        <v>2025</v>
      </c>
      <c r="M36" s="11" t="str" cm="1">
        <f t="array" ref="M36">_xlfn.IFS(B36&lt;=25, "Young Adults", B36&lt;=35, "Emerging Professionals", B36&lt;=50, "Established Adults", TRUE, "Mature Customers")</f>
        <v>Mature Customers</v>
      </c>
      <c r="N36" s="11" t="str">
        <f>IF(Dataset[[#This Row],[Total_Spent (€)]]&lt;10,"Low Spender",IF(Dataset[[#This Row],[Total_Spent (€)]]&lt;25,"Medium Spender","High Spender"))</f>
        <v>Low Spender</v>
      </c>
    </row>
    <row r="37" spans="1:14" x14ac:dyDescent="0.2">
      <c r="A37" s="14" t="s">
        <v>793</v>
      </c>
      <c r="B37" s="11">
        <v>42</v>
      </c>
      <c r="C37" s="11" t="s">
        <v>842</v>
      </c>
      <c r="D37" s="11"/>
      <c r="F37" s="11" t="s">
        <v>83</v>
      </c>
      <c r="G37" s="11">
        <v>0</v>
      </c>
      <c r="H37" s="11">
        <v>2.64</v>
      </c>
      <c r="I37" s="11" t="str">
        <f>TEXT(Dataset[[#This Row],[Purchase_Date]],"[$-409]mmmm")</f>
        <v>January</v>
      </c>
      <c r="J37" s="12">
        <f>MONTH(Dataset[[#This Row],[Purchase_Date]])</f>
        <v>1</v>
      </c>
      <c r="K37" s="13" t="str">
        <f>TEXT(Dataset[[#This Row],[Purchase_Date]],"mm - [$-409]mmmm")</f>
        <v>01 - January</v>
      </c>
      <c r="L37" s="11" t="str">
        <f>IF(Dataset[[#This Row],[Purchase_Date]]="","",YEAR(Dataset[[#This Row],[Purchase_Date]]))</f>
        <v/>
      </c>
      <c r="M37" s="11" t="str" cm="1">
        <f t="array" ref="M37">_xlfn.IFS(B37&lt;=25, "Young Adults", B37&lt;=35, "Emerging Professionals", B37&lt;=50, "Established Adults", TRUE, "Mature Customers")</f>
        <v>Established Adults</v>
      </c>
      <c r="N37" s="11" t="str">
        <f>IF(Dataset[[#This Row],[Total_Spent (€)]]&lt;10,"Low Spender",IF(Dataset[[#This Row],[Total_Spent (€)]]&lt;25,"Medium Spender","High Spender"))</f>
        <v>Low Spender</v>
      </c>
    </row>
    <row r="38" spans="1:14" x14ac:dyDescent="0.2">
      <c r="A38" s="14" t="s">
        <v>792</v>
      </c>
      <c r="B38" s="11">
        <v>54</v>
      </c>
      <c r="C38" s="11" t="s">
        <v>38</v>
      </c>
      <c r="D38" s="11">
        <v>14.96</v>
      </c>
      <c r="E38" s="11" t="s">
        <v>369</v>
      </c>
      <c r="F38" s="11" t="s">
        <v>174</v>
      </c>
      <c r="G38" s="11">
        <v>1</v>
      </c>
      <c r="H38" s="11">
        <v>9.7899999999999991</v>
      </c>
      <c r="I38" s="11" t="str">
        <f>TEXT(Dataset[[#This Row],[Purchase_Date]],"[$-409]mmmm")</f>
        <v>April</v>
      </c>
      <c r="J38" s="12">
        <f>MONTH(Dataset[[#This Row],[Purchase_Date]])</f>
        <v>4</v>
      </c>
      <c r="K38" s="13" t="str">
        <f>TEXT(Dataset[[#This Row],[Purchase_Date]],"mm - [$-409]mmmm")</f>
        <v>04 - April</v>
      </c>
      <c r="L38" s="11">
        <f>IF(Dataset[[#This Row],[Purchase_Date]]="","",YEAR(Dataset[[#This Row],[Purchase_Date]]))</f>
        <v>2025</v>
      </c>
      <c r="M38" s="11" t="str" cm="1">
        <f t="array" ref="M38">_xlfn.IFS(B38&lt;=25, "Young Adults", B38&lt;=35, "Emerging Professionals", B38&lt;=50, "Established Adults", TRUE, "Mature Customers")</f>
        <v>Mature Customers</v>
      </c>
      <c r="N38" s="11" t="str">
        <f>IF(Dataset[[#This Row],[Total_Spent (€)]]&lt;10,"Low Spender",IF(Dataset[[#This Row],[Total_Spent (€)]]&lt;25,"Medium Spender","High Spender"))</f>
        <v>Medium Spender</v>
      </c>
    </row>
    <row r="39" spans="1:14" x14ac:dyDescent="0.2">
      <c r="A39" s="14" t="s">
        <v>791</v>
      </c>
      <c r="B39" s="11">
        <v>35</v>
      </c>
      <c r="C39" s="11" t="s">
        <v>5</v>
      </c>
      <c r="D39" s="11"/>
      <c r="F39" s="11" t="s">
        <v>466</v>
      </c>
      <c r="G39" s="11">
        <v>0</v>
      </c>
      <c r="H39" s="11">
        <v>9.24</v>
      </c>
      <c r="I39" s="11" t="str">
        <f>TEXT(Dataset[[#This Row],[Purchase_Date]],"[$-409]mmmm")</f>
        <v>January</v>
      </c>
      <c r="J39" s="12">
        <f>MONTH(Dataset[[#This Row],[Purchase_Date]])</f>
        <v>1</v>
      </c>
      <c r="K39" s="13" t="str">
        <f>TEXT(Dataset[[#This Row],[Purchase_Date]],"mm - [$-409]mmmm")</f>
        <v>01 - January</v>
      </c>
      <c r="L39" s="11" t="str">
        <f>IF(Dataset[[#This Row],[Purchase_Date]]="","",YEAR(Dataset[[#This Row],[Purchase_Date]]))</f>
        <v/>
      </c>
      <c r="M39" s="11" t="str" cm="1">
        <f t="array" ref="M39">_xlfn.IFS(B39&lt;=25, "Young Adults", B39&lt;=35, "Emerging Professionals", B39&lt;=50, "Established Adults", TRUE, "Mature Customers")</f>
        <v>Emerging Professionals</v>
      </c>
      <c r="N39" s="11" t="str">
        <f>IF(Dataset[[#This Row],[Total_Spent (€)]]&lt;10,"Low Spender",IF(Dataset[[#This Row],[Total_Spent (€)]]&lt;25,"Medium Spender","High Spender"))</f>
        <v>Low Spender</v>
      </c>
    </row>
    <row r="40" spans="1:14" x14ac:dyDescent="0.2">
      <c r="A40" s="14" t="s">
        <v>790</v>
      </c>
      <c r="B40" s="11">
        <v>45</v>
      </c>
      <c r="C40" s="11" t="s">
        <v>840</v>
      </c>
      <c r="D40" s="11">
        <v>38.770000000000003</v>
      </c>
      <c r="E40" s="11" t="s">
        <v>151</v>
      </c>
      <c r="F40" s="11" t="s">
        <v>523</v>
      </c>
      <c r="G40" s="11">
        <v>1</v>
      </c>
      <c r="H40" s="11">
        <v>6.5</v>
      </c>
      <c r="I40" s="11" t="str">
        <f>TEXT(Dataset[[#This Row],[Purchase_Date]],"[$-409]mmmm")</f>
        <v>February</v>
      </c>
      <c r="J40" s="12">
        <f>MONTH(Dataset[[#This Row],[Purchase_Date]])</f>
        <v>2</v>
      </c>
      <c r="K40" s="13" t="str">
        <f>TEXT(Dataset[[#This Row],[Purchase_Date]],"mm - [$-409]mmmm")</f>
        <v>02 - February</v>
      </c>
      <c r="L40" s="11">
        <f>IF(Dataset[[#This Row],[Purchase_Date]]="","",YEAR(Dataset[[#This Row],[Purchase_Date]]))</f>
        <v>2025</v>
      </c>
      <c r="M40" s="11" t="str" cm="1">
        <f t="array" ref="M40">_xlfn.IFS(B40&lt;=25, "Young Adults", B40&lt;=35, "Emerging Professionals", B40&lt;=50, "Established Adults", TRUE, "Mature Customers")</f>
        <v>Established Adults</v>
      </c>
      <c r="N40" s="11" t="str">
        <f>IF(Dataset[[#This Row],[Total_Spent (€)]]&lt;10,"Low Spender",IF(Dataset[[#This Row],[Total_Spent (€)]]&lt;25,"Medium Spender","High Spender"))</f>
        <v>High Spender</v>
      </c>
    </row>
    <row r="41" spans="1:14" x14ac:dyDescent="0.2">
      <c r="A41" s="14" t="s">
        <v>789</v>
      </c>
      <c r="B41" s="11">
        <v>23</v>
      </c>
      <c r="C41" s="11" t="s">
        <v>844</v>
      </c>
      <c r="D41" s="11">
        <v>11.24</v>
      </c>
      <c r="E41" s="11" t="s">
        <v>643</v>
      </c>
      <c r="F41" s="11" t="s">
        <v>788</v>
      </c>
      <c r="G41" s="11">
        <v>1</v>
      </c>
      <c r="H41" s="11">
        <v>5.89</v>
      </c>
      <c r="I41" s="11" t="str">
        <f>TEXT(Dataset[[#This Row],[Purchase_Date]],"[$-409]mmmm")</f>
        <v>March</v>
      </c>
      <c r="J41" s="12">
        <f>MONTH(Dataset[[#This Row],[Purchase_Date]])</f>
        <v>3</v>
      </c>
      <c r="K41" s="13" t="str">
        <f>TEXT(Dataset[[#This Row],[Purchase_Date]],"mm - [$-409]mmmm")</f>
        <v>03 - March</v>
      </c>
      <c r="L41" s="11">
        <f>IF(Dataset[[#This Row],[Purchase_Date]]="","",YEAR(Dataset[[#This Row],[Purchase_Date]]))</f>
        <v>2025</v>
      </c>
      <c r="M41" s="11" t="str" cm="1">
        <f t="array" ref="M41">_xlfn.IFS(B41&lt;=25, "Young Adults", B41&lt;=35, "Emerging Professionals", B41&lt;=50, "Established Adults", TRUE, "Mature Customers")</f>
        <v>Young Adults</v>
      </c>
      <c r="N41" s="11" t="str">
        <f>IF(Dataset[[#This Row],[Total_Spent (€)]]&lt;10,"Low Spender",IF(Dataset[[#This Row],[Total_Spent (€)]]&lt;25,"Medium Spender","High Spender"))</f>
        <v>Medium Spender</v>
      </c>
    </row>
    <row r="42" spans="1:14" x14ac:dyDescent="0.2">
      <c r="A42" s="14" t="s">
        <v>787</v>
      </c>
      <c r="B42" s="11">
        <v>30</v>
      </c>
      <c r="C42" s="11" t="s">
        <v>847</v>
      </c>
      <c r="D42" s="11"/>
      <c r="F42" s="11" t="s">
        <v>77</v>
      </c>
      <c r="G42" s="11">
        <v>0</v>
      </c>
      <c r="H42" s="11">
        <v>6.01</v>
      </c>
      <c r="I42" s="11" t="str">
        <f>TEXT(Dataset[[#This Row],[Purchase_Date]],"[$-409]mmmm")</f>
        <v>January</v>
      </c>
      <c r="J42" s="12">
        <f>MONTH(Dataset[[#This Row],[Purchase_Date]])</f>
        <v>1</v>
      </c>
      <c r="K42" s="13" t="str">
        <f>TEXT(Dataset[[#This Row],[Purchase_Date]],"mm - [$-409]mmmm")</f>
        <v>01 - January</v>
      </c>
      <c r="L42" s="11" t="str">
        <f>IF(Dataset[[#This Row],[Purchase_Date]]="","",YEAR(Dataset[[#This Row],[Purchase_Date]]))</f>
        <v/>
      </c>
      <c r="M42" s="11" t="str" cm="1">
        <f t="array" ref="M42">_xlfn.IFS(B42&lt;=25, "Young Adults", B42&lt;=35, "Emerging Professionals", B42&lt;=50, "Established Adults", TRUE, "Mature Customers")</f>
        <v>Emerging Professionals</v>
      </c>
      <c r="N42" s="11" t="str">
        <f>IF(Dataset[[#This Row],[Total_Spent (€)]]&lt;10,"Low Spender",IF(Dataset[[#This Row],[Total_Spent (€)]]&lt;25,"Medium Spender","High Spender"))</f>
        <v>Low Spender</v>
      </c>
    </row>
    <row r="43" spans="1:14" x14ac:dyDescent="0.2">
      <c r="A43" s="14" t="s">
        <v>786</v>
      </c>
      <c r="B43" s="11">
        <v>44</v>
      </c>
      <c r="C43" s="11" t="s">
        <v>61</v>
      </c>
      <c r="D43" s="11"/>
      <c r="F43" s="11" t="s">
        <v>71</v>
      </c>
      <c r="G43" s="11">
        <v>0</v>
      </c>
      <c r="H43" s="11">
        <v>8.74</v>
      </c>
      <c r="I43" s="11" t="str">
        <f>TEXT(Dataset[[#This Row],[Purchase_Date]],"[$-409]mmmm")</f>
        <v>January</v>
      </c>
      <c r="J43" s="12">
        <f>MONTH(Dataset[[#This Row],[Purchase_Date]])</f>
        <v>1</v>
      </c>
      <c r="K43" s="13" t="str">
        <f>TEXT(Dataset[[#This Row],[Purchase_Date]],"mm - [$-409]mmmm")</f>
        <v>01 - January</v>
      </c>
      <c r="L43" s="11" t="str">
        <f>IF(Dataset[[#This Row],[Purchase_Date]]="","",YEAR(Dataset[[#This Row],[Purchase_Date]]))</f>
        <v/>
      </c>
      <c r="M43" s="11" t="str" cm="1">
        <f t="array" ref="M43">_xlfn.IFS(B43&lt;=25, "Young Adults", B43&lt;=35, "Emerging Professionals", B43&lt;=50, "Established Adults", TRUE, "Mature Customers")</f>
        <v>Established Adults</v>
      </c>
      <c r="N43" s="11" t="str">
        <f>IF(Dataset[[#This Row],[Total_Spent (€)]]&lt;10,"Low Spender",IF(Dataset[[#This Row],[Total_Spent (€)]]&lt;25,"Medium Spender","High Spender"))</f>
        <v>Low Spender</v>
      </c>
    </row>
    <row r="44" spans="1:14" x14ac:dyDescent="0.2">
      <c r="A44" s="14" t="s">
        <v>785</v>
      </c>
      <c r="B44" s="11">
        <v>41</v>
      </c>
      <c r="C44" s="11" t="s">
        <v>86</v>
      </c>
      <c r="D44" s="11"/>
      <c r="F44" s="11" t="s">
        <v>401</v>
      </c>
      <c r="G44" s="11">
        <v>0</v>
      </c>
      <c r="H44" s="11">
        <v>4.3600000000000003</v>
      </c>
      <c r="I44" s="11" t="str">
        <f>TEXT(Dataset[[#This Row],[Purchase_Date]],"[$-409]mmmm")</f>
        <v>January</v>
      </c>
      <c r="J44" s="12">
        <f>MONTH(Dataset[[#This Row],[Purchase_Date]])</f>
        <v>1</v>
      </c>
      <c r="K44" s="13" t="str">
        <f>TEXT(Dataset[[#This Row],[Purchase_Date]],"mm - [$-409]mmmm")</f>
        <v>01 - January</v>
      </c>
      <c r="L44" s="11" t="str">
        <f>IF(Dataset[[#This Row],[Purchase_Date]]="","",YEAR(Dataset[[#This Row],[Purchase_Date]]))</f>
        <v/>
      </c>
      <c r="M44" s="11" t="str" cm="1">
        <f t="array" ref="M44">_xlfn.IFS(B44&lt;=25, "Young Adults", B44&lt;=35, "Emerging Professionals", B44&lt;=50, "Established Adults", TRUE, "Mature Customers")</f>
        <v>Established Adults</v>
      </c>
      <c r="N44" s="11" t="str">
        <f>IF(Dataset[[#This Row],[Total_Spent (€)]]&lt;10,"Low Spender",IF(Dataset[[#This Row],[Total_Spent (€)]]&lt;25,"Medium Spender","High Spender"))</f>
        <v>Low Spender</v>
      </c>
    </row>
    <row r="45" spans="1:14" x14ac:dyDescent="0.2">
      <c r="A45" s="14" t="s">
        <v>784</v>
      </c>
      <c r="B45" s="11">
        <v>40</v>
      </c>
      <c r="C45" s="11" t="s">
        <v>61</v>
      </c>
      <c r="D45" s="11"/>
      <c r="F45" s="11" t="s">
        <v>246</v>
      </c>
      <c r="G45" s="11">
        <v>0</v>
      </c>
      <c r="H45" s="11">
        <v>9.2100000000000009</v>
      </c>
      <c r="I45" s="11" t="str">
        <f>TEXT(Dataset[[#This Row],[Purchase_Date]],"[$-409]mmmm")</f>
        <v>January</v>
      </c>
      <c r="J45" s="12">
        <f>MONTH(Dataset[[#This Row],[Purchase_Date]])</f>
        <v>1</v>
      </c>
      <c r="K45" s="13" t="str">
        <f>TEXT(Dataset[[#This Row],[Purchase_Date]],"mm - [$-409]mmmm")</f>
        <v>01 - January</v>
      </c>
      <c r="L45" s="11" t="str">
        <f>IF(Dataset[[#This Row],[Purchase_Date]]="","",YEAR(Dataset[[#This Row],[Purchase_Date]]))</f>
        <v/>
      </c>
      <c r="M45" s="11" t="str" cm="1">
        <f t="array" ref="M45">_xlfn.IFS(B45&lt;=25, "Young Adults", B45&lt;=35, "Emerging Professionals", B45&lt;=50, "Established Adults", TRUE, "Mature Customers")</f>
        <v>Established Adults</v>
      </c>
      <c r="N45" s="11" t="str">
        <f>IF(Dataset[[#This Row],[Total_Spent (€)]]&lt;10,"Low Spender",IF(Dataset[[#This Row],[Total_Spent (€)]]&lt;25,"Medium Spender","High Spender"))</f>
        <v>Low Spender</v>
      </c>
    </row>
    <row r="46" spans="1:14" x14ac:dyDescent="0.2">
      <c r="A46" s="14" t="s">
        <v>783</v>
      </c>
      <c r="B46" s="11">
        <v>19</v>
      </c>
      <c r="C46" s="11" t="s">
        <v>30</v>
      </c>
      <c r="D46" s="11">
        <v>16.86</v>
      </c>
      <c r="E46" s="11" t="s">
        <v>740</v>
      </c>
      <c r="F46" s="11" t="s">
        <v>733</v>
      </c>
      <c r="G46" s="11">
        <v>1</v>
      </c>
      <c r="H46" s="11">
        <v>4.92</v>
      </c>
      <c r="I46" s="11" t="str">
        <f>TEXT(Dataset[[#This Row],[Purchase_Date]],"[$-409]mmmm")</f>
        <v>September</v>
      </c>
      <c r="J46" s="12">
        <f>MONTH(Dataset[[#This Row],[Purchase_Date]])</f>
        <v>9</v>
      </c>
      <c r="K46" s="13" t="str">
        <f>TEXT(Dataset[[#This Row],[Purchase_Date]],"mm - [$-409]mmmm")</f>
        <v>09 - September</v>
      </c>
      <c r="L46" s="11">
        <f>IF(Dataset[[#This Row],[Purchase_Date]]="","",YEAR(Dataset[[#This Row],[Purchase_Date]]))</f>
        <v>2024</v>
      </c>
      <c r="M46" s="11" t="str" cm="1">
        <f t="array" ref="M46">_xlfn.IFS(B46&lt;=25, "Young Adults", B46&lt;=35, "Emerging Professionals", B46&lt;=50, "Established Adults", TRUE, "Mature Customers")</f>
        <v>Young Adults</v>
      </c>
      <c r="N46" s="11" t="str">
        <f>IF(Dataset[[#This Row],[Total_Spent (€)]]&lt;10,"Low Spender",IF(Dataset[[#This Row],[Total_Spent (€)]]&lt;25,"Medium Spender","High Spender"))</f>
        <v>Medium Spender</v>
      </c>
    </row>
    <row r="47" spans="1:14" x14ac:dyDescent="0.2">
      <c r="A47" s="14" t="s">
        <v>782</v>
      </c>
      <c r="B47" s="11">
        <v>46</v>
      </c>
      <c r="C47" s="11" t="s">
        <v>38</v>
      </c>
      <c r="D47" s="11"/>
      <c r="F47" s="11" t="s">
        <v>571</v>
      </c>
      <c r="G47" s="11">
        <v>0</v>
      </c>
      <c r="H47" s="11">
        <v>6.79</v>
      </c>
      <c r="I47" s="11" t="str">
        <f>TEXT(Dataset[[#This Row],[Purchase_Date]],"[$-409]mmmm")</f>
        <v>January</v>
      </c>
      <c r="J47" s="12">
        <f>MONTH(Dataset[[#This Row],[Purchase_Date]])</f>
        <v>1</v>
      </c>
      <c r="K47" s="13" t="str">
        <f>TEXT(Dataset[[#This Row],[Purchase_Date]],"mm - [$-409]mmmm")</f>
        <v>01 - January</v>
      </c>
      <c r="L47" s="11" t="str">
        <f>IF(Dataset[[#This Row],[Purchase_Date]]="","",YEAR(Dataset[[#This Row],[Purchase_Date]]))</f>
        <v/>
      </c>
      <c r="M47" s="11" t="str" cm="1">
        <f t="array" ref="M47">_xlfn.IFS(B47&lt;=25, "Young Adults", B47&lt;=35, "Emerging Professionals", B47&lt;=50, "Established Adults", TRUE, "Mature Customers")</f>
        <v>Established Adults</v>
      </c>
      <c r="N47" s="11" t="str">
        <f>IF(Dataset[[#This Row],[Total_Spent (€)]]&lt;10,"Low Spender",IF(Dataset[[#This Row],[Total_Spent (€)]]&lt;25,"Medium Spender","High Spender"))</f>
        <v>Low Spender</v>
      </c>
    </row>
    <row r="48" spans="1:14" x14ac:dyDescent="0.2">
      <c r="A48" s="14" t="s">
        <v>781</v>
      </c>
      <c r="B48" s="11">
        <v>41</v>
      </c>
      <c r="C48" s="11" t="s">
        <v>20</v>
      </c>
      <c r="D48" s="11"/>
      <c r="F48" s="11" t="s">
        <v>363</v>
      </c>
      <c r="G48" s="11">
        <v>0</v>
      </c>
      <c r="H48" s="11">
        <v>6.54</v>
      </c>
      <c r="I48" s="11" t="str">
        <f>TEXT(Dataset[[#This Row],[Purchase_Date]],"[$-409]mmmm")</f>
        <v>January</v>
      </c>
      <c r="J48" s="12">
        <f>MONTH(Dataset[[#This Row],[Purchase_Date]])</f>
        <v>1</v>
      </c>
      <c r="K48" s="13" t="str">
        <f>TEXT(Dataset[[#This Row],[Purchase_Date]],"mm - [$-409]mmmm")</f>
        <v>01 - January</v>
      </c>
      <c r="L48" s="11" t="str">
        <f>IF(Dataset[[#This Row],[Purchase_Date]]="","",YEAR(Dataset[[#This Row],[Purchase_Date]]))</f>
        <v/>
      </c>
      <c r="M48" s="11" t="str" cm="1">
        <f t="array" ref="M48">_xlfn.IFS(B48&lt;=25, "Young Adults", B48&lt;=35, "Emerging Professionals", B48&lt;=50, "Established Adults", TRUE, "Mature Customers")</f>
        <v>Established Adults</v>
      </c>
      <c r="N48" s="11" t="str">
        <f>IF(Dataset[[#This Row],[Total_Spent (€)]]&lt;10,"Low Spender",IF(Dataset[[#This Row],[Total_Spent (€)]]&lt;25,"Medium Spender","High Spender"))</f>
        <v>Low Spender</v>
      </c>
    </row>
    <row r="49" spans="1:14" x14ac:dyDescent="0.2">
      <c r="A49" s="14" t="s">
        <v>780</v>
      </c>
      <c r="B49" s="11">
        <v>23</v>
      </c>
      <c r="C49" s="11" t="s">
        <v>841</v>
      </c>
      <c r="D49" s="11">
        <v>22.95</v>
      </c>
      <c r="E49" s="11" t="s">
        <v>248</v>
      </c>
      <c r="F49" s="11" t="s">
        <v>414</v>
      </c>
      <c r="G49" s="11">
        <v>1</v>
      </c>
      <c r="H49" s="11">
        <v>6.41</v>
      </c>
      <c r="I49" s="11" t="str">
        <f>TEXT(Dataset[[#This Row],[Purchase_Date]],"[$-409]mmmm")</f>
        <v>August</v>
      </c>
      <c r="J49" s="12">
        <f>MONTH(Dataset[[#This Row],[Purchase_Date]])</f>
        <v>8</v>
      </c>
      <c r="K49" s="13" t="str">
        <f>TEXT(Dataset[[#This Row],[Purchase_Date]],"mm - [$-409]mmmm")</f>
        <v>08 - August</v>
      </c>
      <c r="L49" s="11">
        <f>IF(Dataset[[#This Row],[Purchase_Date]]="","",YEAR(Dataset[[#This Row],[Purchase_Date]]))</f>
        <v>2024</v>
      </c>
      <c r="M49" s="11" t="str" cm="1">
        <f t="array" ref="M49">_xlfn.IFS(B49&lt;=25, "Young Adults", B49&lt;=35, "Emerging Professionals", B49&lt;=50, "Established Adults", TRUE, "Mature Customers")</f>
        <v>Young Adults</v>
      </c>
      <c r="N49" s="11" t="str">
        <f>IF(Dataset[[#This Row],[Total_Spent (€)]]&lt;10,"Low Spender",IF(Dataset[[#This Row],[Total_Spent (€)]]&lt;25,"Medium Spender","High Spender"))</f>
        <v>Medium Spender</v>
      </c>
    </row>
    <row r="50" spans="1:14" x14ac:dyDescent="0.2">
      <c r="A50" s="14" t="s">
        <v>779</v>
      </c>
      <c r="B50" s="11">
        <v>37</v>
      </c>
      <c r="C50" s="11" t="s">
        <v>43</v>
      </c>
      <c r="D50" s="11">
        <v>15.72</v>
      </c>
      <c r="E50" s="11" t="s">
        <v>137</v>
      </c>
      <c r="F50" s="11" t="s">
        <v>778</v>
      </c>
      <c r="G50" s="11">
        <v>1</v>
      </c>
      <c r="H50" s="11">
        <v>4.62</v>
      </c>
      <c r="I50" s="11" t="str">
        <f>TEXT(Dataset[[#This Row],[Purchase_Date]],"[$-409]mmmm")</f>
        <v>September</v>
      </c>
      <c r="J50" s="12">
        <f>MONTH(Dataset[[#This Row],[Purchase_Date]])</f>
        <v>9</v>
      </c>
      <c r="K50" s="13" t="str">
        <f>TEXT(Dataset[[#This Row],[Purchase_Date]],"mm - [$-409]mmmm")</f>
        <v>09 - September</v>
      </c>
      <c r="L50" s="11">
        <f>IF(Dataset[[#This Row],[Purchase_Date]]="","",YEAR(Dataset[[#This Row],[Purchase_Date]]))</f>
        <v>2024</v>
      </c>
      <c r="M50" s="11" t="str" cm="1">
        <f t="array" ref="M50">_xlfn.IFS(B50&lt;=25, "Young Adults", B50&lt;=35, "Emerging Professionals", B50&lt;=50, "Established Adults", TRUE, "Mature Customers")</f>
        <v>Established Adults</v>
      </c>
      <c r="N50" s="11" t="str">
        <f>IF(Dataset[[#This Row],[Total_Spent (€)]]&lt;10,"Low Spender",IF(Dataset[[#This Row],[Total_Spent (€)]]&lt;25,"Medium Spender","High Spender"))</f>
        <v>Medium Spender</v>
      </c>
    </row>
    <row r="51" spans="1:14" x14ac:dyDescent="0.2">
      <c r="A51" s="14" t="s">
        <v>777</v>
      </c>
      <c r="B51" s="11">
        <v>35</v>
      </c>
      <c r="C51" s="11" t="s">
        <v>843</v>
      </c>
      <c r="D51" s="11"/>
      <c r="F51" s="11" t="s">
        <v>776</v>
      </c>
      <c r="G51" s="11">
        <v>0</v>
      </c>
      <c r="H51" s="11">
        <v>3.23</v>
      </c>
      <c r="I51" s="11" t="str">
        <f>TEXT(Dataset[[#This Row],[Purchase_Date]],"[$-409]mmmm")</f>
        <v>January</v>
      </c>
      <c r="J51" s="12">
        <f>MONTH(Dataset[[#This Row],[Purchase_Date]])</f>
        <v>1</v>
      </c>
      <c r="K51" s="13" t="str">
        <f>TEXT(Dataset[[#This Row],[Purchase_Date]],"mm - [$-409]mmmm")</f>
        <v>01 - January</v>
      </c>
      <c r="L51" s="11" t="str">
        <f>IF(Dataset[[#This Row],[Purchase_Date]]="","",YEAR(Dataset[[#This Row],[Purchase_Date]]))</f>
        <v/>
      </c>
      <c r="M51" s="11" t="str" cm="1">
        <f t="array" ref="M51">_xlfn.IFS(B51&lt;=25, "Young Adults", B51&lt;=35, "Emerging Professionals", B51&lt;=50, "Established Adults", TRUE, "Mature Customers")</f>
        <v>Emerging Professionals</v>
      </c>
      <c r="N51" s="11" t="str">
        <f>IF(Dataset[[#This Row],[Total_Spent (€)]]&lt;10,"Low Spender",IF(Dataset[[#This Row],[Total_Spent (€)]]&lt;25,"Medium Spender","High Spender"))</f>
        <v>Low Spender</v>
      </c>
    </row>
    <row r="52" spans="1:14" x14ac:dyDescent="0.2">
      <c r="A52" s="14" t="s">
        <v>775</v>
      </c>
      <c r="B52" s="11">
        <v>40</v>
      </c>
      <c r="C52" s="11" t="s">
        <v>5</v>
      </c>
      <c r="D52" s="11">
        <v>22.18</v>
      </c>
      <c r="E52" s="11" t="s">
        <v>454</v>
      </c>
      <c r="F52" s="11" t="s">
        <v>519</v>
      </c>
      <c r="G52" s="11">
        <v>1</v>
      </c>
      <c r="H52" s="11">
        <v>9.43</v>
      </c>
      <c r="I52" s="11" t="str">
        <f>TEXT(Dataset[[#This Row],[Purchase_Date]],"[$-409]mmmm")</f>
        <v>August</v>
      </c>
      <c r="J52" s="12">
        <f>MONTH(Dataset[[#This Row],[Purchase_Date]])</f>
        <v>8</v>
      </c>
      <c r="K52" s="13" t="str">
        <f>TEXT(Dataset[[#This Row],[Purchase_Date]],"mm - [$-409]mmmm")</f>
        <v>08 - August</v>
      </c>
      <c r="L52" s="11">
        <f>IF(Dataset[[#This Row],[Purchase_Date]]="","",YEAR(Dataset[[#This Row],[Purchase_Date]]))</f>
        <v>2024</v>
      </c>
      <c r="M52" s="11" t="str" cm="1">
        <f t="array" ref="M52">_xlfn.IFS(B52&lt;=25, "Young Adults", B52&lt;=35, "Emerging Professionals", B52&lt;=50, "Established Adults", TRUE, "Mature Customers")</f>
        <v>Established Adults</v>
      </c>
      <c r="N52" s="11" t="str">
        <f>IF(Dataset[[#This Row],[Total_Spent (€)]]&lt;10,"Low Spender",IF(Dataset[[#This Row],[Total_Spent (€)]]&lt;25,"Medium Spender","High Spender"))</f>
        <v>Medium Spender</v>
      </c>
    </row>
    <row r="53" spans="1:14" x14ac:dyDescent="0.2">
      <c r="A53" s="14" t="s">
        <v>774</v>
      </c>
      <c r="B53" s="11">
        <v>32</v>
      </c>
      <c r="C53" s="11" t="s">
        <v>845</v>
      </c>
      <c r="D53" s="11">
        <v>12.1</v>
      </c>
      <c r="E53" s="11" t="s">
        <v>626</v>
      </c>
      <c r="F53" s="11" t="s">
        <v>105</v>
      </c>
      <c r="G53" s="11">
        <v>1</v>
      </c>
      <c r="H53" s="11">
        <v>2.12</v>
      </c>
      <c r="I53" s="11" t="str">
        <f>TEXT(Dataset[[#This Row],[Purchase_Date]],"[$-409]mmmm")</f>
        <v>April</v>
      </c>
      <c r="J53" s="12">
        <f>MONTH(Dataset[[#This Row],[Purchase_Date]])</f>
        <v>4</v>
      </c>
      <c r="K53" s="13" t="str">
        <f>TEXT(Dataset[[#This Row],[Purchase_Date]],"mm - [$-409]mmmm")</f>
        <v>04 - April</v>
      </c>
      <c r="L53" s="11">
        <f>IF(Dataset[[#This Row],[Purchase_Date]]="","",YEAR(Dataset[[#This Row],[Purchase_Date]]))</f>
        <v>2025</v>
      </c>
      <c r="M53" s="11" t="str" cm="1">
        <f t="array" ref="M53">_xlfn.IFS(B53&lt;=25, "Young Adults", B53&lt;=35, "Emerging Professionals", B53&lt;=50, "Established Adults", TRUE, "Mature Customers")</f>
        <v>Emerging Professionals</v>
      </c>
      <c r="N53" s="11" t="str">
        <f>IF(Dataset[[#This Row],[Total_Spent (€)]]&lt;10,"Low Spender",IF(Dataset[[#This Row],[Total_Spent (€)]]&lt;25,"Medium Spender","High Spender"))</f>
        <v>Medium Spender</v>
      </c>
    </row>
    <row r="54" spans="1:14" x14ac:dyDescent="0.2">
      <c r="A54" s="14" t="s">
        <v>773</v>
      </c>
      <c r="B54" s="11">
        <v>52</v>
      </c>
      <c r="C54" s="11" t="s">
        <v>841</v>
      </c>
      <c r="D54" s="11"/>
      <c r="F54" s="11" t="s">
        <v>353</v>
      </c>
      <c r="G54" s="11">
        <v>0</v>
      </c>
      <c r="H54" s="11">
        <v>6.67</v>
      </c>
      <c r="I54" s="11" t="str">
        <f>TEXT(Dataset[[#This Row],[Purchase_Date]],"[$-409]mmmm")</f>
        <v>January</v>
      </c>
      <c r="J54" s="12">
        <f>MONTH(Dataset[[#This Row],[Purchase_Date]])</f>
        <v>1</v>
      </c>
      <c r="K54" s="13" t="str">
        <f>TEXT(Dataset[[#This Row],[Purchase_Date]],"mm - [$-409]mmmm")</f>
        <v>01 - January</v>
      </c>
      <c r="L54" s="11" t="str">
        <f>IF(Dataset[[#This Row],[Purchase_Date]]="","",YEAR(Dataset[[#This Row],[Purchase_Date]]))</f>
        <v/>
      </c>
      <c r="M54" s="11" t="str" cm="1">
        <f t="array" ref="M54">_xlfn.IFS(B54&lt;=25, "Young Adults", B54&lt;=35, "Emerging Professionals", B54&lt;=50, "Established Adults", TRUE, "Mature Customers")</f>
        <v>Mature Customers</v>
      </c>
      <c r="N54" s="11" t="str">
        <f>IF(Dataset[[#This Row],[Total_Spent (€)]]&lt;10,"Low Spender",IF(Dataset[[#This Row],[Total_Spent (€)]]&lt;25,"Medium Spender","High Spender"))</f>
        <v>Low Spender</v>
      </c>
    </row>
    <row r="55" spans="1:14" x14ac:dyDescent="0.2">
      <c r="A55" s="14" t="s">
        <v>772</v>
      </c>
      <c r="B55" s="11">
        <v>19</v>
      </c>
      <c r="C55" s="11" t="s">
        <v>845</v>
      </c>
      <c r="D55" s="11"/>
      <c r="F55" s="11" t="s">
        <v>142</v>
      </c>
      <c r="G55" s="11">
        <v>0</v>
      </c>
      <c r="H55" s="11">
        <v>9.56</v>
      </c>
      <c r="I55" s="11" t="str">
        <f>TEXT(Dataset[[#This Row],[Purchase_Date]],"[$-409]mmmm")</f>
        <v>January</v>
      </c>
      <c r="J55" s="12">
        <f>MONTH(Dataset[[#This Row],[Purchase_Date]])</f>
        <v>1</v>
      </c>
      <c r="K55" s="13" t="str">
        <f>TEXT(Dataset[[#This Row],[Purchase_Date]],"mm - [$-409]mmmm")</f>
        <v>01 - January</v>
      </c>
      <c r="L55" s="11" t="str">
        <f>IF(Dataset[[#This Row],[Purchase_Date]]="","",YEAR(Dataset[[#This Row],[Purchase_Date]]))</f>
        <v/>
      </c>
      <c r="M55" s="11" t="str" cm="1">
        <f t="array" ref="M55">_xlfn.IFS(B55&lt;=25, "Young Adults", B55&lt;=35, "Emerging Professionals", B55&lt;=50, "Established Adults", TRUE, "Mature Customers")</f>
        <v>Young Adults</v>
      </c>
      <c r="N55" s="11" t="str">
        <f>IF(Dataset[[#This Row],[Total_Spent (€)]]&lt;10,"Low Spender",IF(Dataset[[#This Row],[Total_Spent (€)]]&lt;25,"Medium Spender","High Spender"))</f>
        <v>Low Spender</v>
      </c>
    </row>
    <row r="56" spans="1:14" x14ac:dyDescent="0.2">
      <c r="A56" s="14" t="s">
        <v>771</v>
      </c>
      <c r="B56" s="11">
        <v>47</v>
      </c>
      <c r="C56" s="11" t="s">
        <v>844</v>
      </c>
      <c r="D56" s="11"/>
      <c r="F56" s="11" t="s">
        <v>376</v>
      </c>
      <c r="G56" s="11">
        <v>0</v>
      </c>
      <c r="H56" s="11">
        <v>5.79</v>
      </c>
      <c r="I56" s="11" t="str">
        <f>TEXT(Dataset[[#This Row],[Purchase_Date]],"[$-409]mmmm")</f>
        <v>January</v>
      </c>
      <c r="J56" s="12">
        <f>MONTH(Dataset[[#This Row],[Purchase_Date]])</f>
        <v>1</v>
      </c>
      <c r="K56" s="13" t="str">
        <f>TEXT(Dataset[[#This Row],[Purchase_Date]],"mm - [$-409]mmmm")</f>
        <v>01 - January</v>
      </c>
      <c r="L56" s="11" t="str">
        <f>IF(Dataset[[#This Row],[Purchase_Date]]="","",YEAR(Dataset[[#This Row],[Purchase_Date]]))</f>
        <v/>
      </c>
      <c r="M56" s="11" t="str" cm="1">
        <f t="array" ref="M56">_xlfn.IFS(B56&lt;=25, "Young Adults", B56&lt;=35, "Emerging Professionals", B56&lt;=50, "Established Adults", TRUE, "Mature Customers")</f>
        <v>Established Adults</v>
      </c>
      <c r="N56" s="11" t="str">
        <f>IF(Dataset[[#This Row],[Total_Spent (€)]]&lt;10,"Low Spender",IF(Dataset[[#This Row],[Total_Spent (€)]]&lt;25,"Medium Spender","High Spender"))</f>
        <v>Low Spender</v>
      </c>
    </row>
    <row r="57" spans="1:14" x14ac:dyDescent="0.2">
      <c r="A57" s="14" t="s">
        <v>770</v>
      </c>
      <c r="B57" s="11">
        <v>31</v>
      </c>
      <c r="C57" s="11" t="s">
        <v>152</v>
      </c>
      <c r="D57" s="11"/>
      <c r="F57" s="11" t="s">
        <v>769</v>
      </c>
      <c r="G57" s="11">
        <v>0</v>
      </c>
      <c r="H57" s="11">
        <v>3.83</v>
      </c>
      <c r="I57" s="11" t="str">
        <f>TEXT(Dataset[[#This Row],[Purchase_Date]],"[$-409]mmmm")</f>
        <v>January</v>
      </c>
      <c r="J57" s="12">
        <f>MONTH(Dataset[[#This Row],[Purchase_Date]])</f>
        <v>1</v>
      </c>
      <c r="K57" s="13" t="str">
        <f>TEXT(Dataset[[#This Row],[Purchase_Date]],"mm - [$-409]mmmm")</f>
        <v>01 - January</v>
      </c>
      <c r="L57" s="11" t="str">
        <f>IF(Dataset[[#This Row],[Purchase_Date]]="","",YEAR(Dataset[[#This Row],[Purchase_Date]]))</f>
        <v/>
      </c>
      <c r="M57" s="11" t="str" cm="1">
        <f t="array" ref="M57">_xlfn.IFS(B57&lt;=25, "Young Adults", B57&lt;=35, "Emerging Professionals", B57&lt;=50, "Established Adults", TRUE, "Mature Customers")</f>
        <v>Emerging Professionals</v>
      </c>
      <c r="N57" s="11" t="str">
        <f>IF(Dataset[[#This Row],[Total_Spent (€)]]&lt;10,"Low Spender",IF(Dataset[[#This Row],[Total_Spent (€)]]&lt;25,"Medium Spender","High Spender"))</f>
        <v>Low Spender</v>
      </c>
    </row>
    <row r="58" spans="1:14" x14ac:dyDescent="0.2">
      <c r="A58" s="14" t="s">
        <v>768</v>
      </c>
      <c r="B58" s="11">
        <v>23</v>
      </c>
      <c r="C58" s="11" t="s">
        <v>841</v>
      </c>
      <c r="D58" s="11"/>
      <c r="F58" s="11" t="s">
        <v>0</v>
      </c>
      <c r="G58" s="11">
        <v>0</v>
      </c>
      <c r="H58" s="11">
        <v>3.25</v>
      </c>
      <c r="I58" s="11" t="str">
        <f>TEXT(Dataset[[#This Row],[Purchase_Date]],"[$-409]mmmm")</f>
        <v>January</v>
      </c>
      <c r="J58" s="12">
        <f>MONTH(Dataset[[#This Row],[Purchase_Date]])</f>
        <v>1</v>
      </c>
      <c r="K58" s="13" t="str">
        <f>TEXT(Dataset[[#This Row],[Purchase_Date]],"mm - [$-409]mmmm")</f>
        <v>01 - January</v>
      </c>
      <c r="L58" s="11" t="str">
        <f>IF(Dataset[[#This Row],[Purchase_Date]]="","",YEAR(Dataset[[#This Row],[Purchase_Date]]))</f>
        <v/>
      </c>
      <c r="M58" s="11" t="str" cm="1">
        <f t="array" ref="M58">_xlfn.IFS(B58&lt;=25, "Young Adults", B58&lt;=35, "Emerging Professionals", B58&lt;=50, "Established Adults", TRUE, "Mature Customers")</f>
        <v>Young Adults</v>
      </c>
      <c r="N58" s="11" t="str">
        <f>IF(Dataset[[#This Row],[Total_Spent (€)]]&lt;10,"Low Spender",IF(Dataset[[#This Row],[Total_Spent (€)]]&lt;25,"Medium Spender","High Spender"))</f>
        <v>Low Spender</v>
      </c>
    </row>
    <row r="59" spans="1:14" x14ac:dyDescent="0.2">
      <c r="A59" s="14" t="s">
        <v>767</v>
      </c>
      <c r="B59" s="11">
        <v>37</v>
      </c>
      <c r="C59" s="11" t="s">
        <v>75</v>
      </c>
      <c r="D59" s="11"/>
      <c r="F59" s="11" t="s">
        <v>550</v>
      </c>
      <c r="G59" s="11">
        <v>0</v>
      </c>
      <c r="H59" s="11">
        <v>6.24</v>
      </c>
      <c r="I59" s="11" t="str">
        <f>TEXT(Dataset[[#This Row],[Purchase_Date]],"[$-409]mmmm")</f>
        <v>January</v>
      </c>
      <c r="J59" s="12">
        <f>MONTH(Dataset[[#This Row],[Purchase_Date]])</f>
        <v>1</v>
      </c>
      <c r="K59" s="13" t="str">
        <f>TEXT(Dataset[[#This Row],[Purchase_Date]],"mm - [$-409]mmmm")</f>
        <v>01 - January</v>
      </c>
      <c r="L59" s="11" t="str">
        <f>IF(Dataset[[#This Row],[Purchase_Date]]="","",YEAR(Dataset[[#This Row],[Purchase_Date]]))</f>
        <v/>
      </c>
      <c r="M59" s="11" t="str" cm="1">
        <f t="array" ref="M59">_xlfn.IFS(B59&lt;=25, "Young Adults", B59&lt;=35, "Emerging Professionals", B59&lt;=50, "Established Adults", TRUE, "Mature Customers")</f>
        <v>Established Adults</v>
      </c>
      <c r="N59" s="11" t="str">
        <f>IF(Dataset[[#This Row],[Total_Spent (€)]]&lt;10,"Low Spender",IF(Dataset[[#This Row],[Total_Spent (€)]]&lt;25,"Medium Spender","High Spender"))</f>
        <v>Low Spender</v>
      </c>
    </row>
    <row r="60" spans="1:14" x14ac:dyDescent="0.2">
      <c r="A60" s="14" t="s">
        <v>766</v>
      </c>
      <c r="B60" s="11">
        <v>44</v>
      </c>
      <c r="C60" s="11" t="s">
        <v>842</v>
      </c>
      <c r="D60" s="11"/>
      <c r="F60" s="11" t="s">
        <v>446</v>
      </c>
      <c r="G60" s="11">
        <v>0</v>
      </c>
      <c r="H60" s="11">
        <v>8.3800000000000008</v>
      </c>
      <c r="I60" s="11" t="str">
        <f>TEXT(Dataset[[#This Row],[Purchase_Date]],"[$-409]mmmm")</f>
        <v>January</v>
      </c>
      <c r="J60" s="12">
        <f>MONTH(Dataset[[#This Row],[Purchase_Date]])</f>
        <v>1</v>
      </c>
      <c r="K60" s="13" t="str">
        <f>TEXT(Dataset[[#This Row],[Purchase_Date]],"mm - [$-409]mmmm")</f>
        <v>01 - January</v>
      </c>
      <c r="L60" s="11" t="str">
        <f>IF(Dataset[[#This Row],[Purchase_Date]]="","",YEAR(Dataset[[#This Row],[Purchase_Date]]))</f>
        <v/>
      </c>
      <c r="M60" s="11" t="str" cm="1">
        <f t="array" ref="M60">_xlfn.IFS(B60&lt;=25, "Young Adults", B60&lt;=35, "Emerging Professionals", B60&lt;=50, "Established Adults", TRUE, "Mature Customers")</f>
        <v>Established Adults</v>
      </c>
      <c r="N60" s="11" t="str">
        <f>IF(Dataset[[#This Row],[Total_Spent (€)]]&lt;10,"Low Spender",IF(Dataset[[#This Row],[Total_Spent (€)]]&lt;25,"Medium Spender","High Spender"))</f>
        <v>Low Spender</v>
      </c>
    </row>
    <row r="61" spans="1:14" x14ac:dyDescent="0.2">
      <c r="A61" s="14" t="s">
        <v>765</v>
      </c>
      <c r="B61" s="11">
        <v>35</v>
      </c>
      <c r="C61" s="11" t="s">
        <v>30</v>
      </c>
      <c r="D61" s="11"/>
      <c r="F61" s="11" t="s">
        <v>269</v>
      </c>
      <c r="G61" s="11">
        <v>0</v>
      </c>
      <c r="H61" s="11">
        <v>6.96</v>
      </c>
      <c r="I61" s="11" t="str">
        <f>TEXT(Dataset[[#This Row],[Purchase_Date]],"[$-409]mmmm")</f>
        <v>January</v>
      </c>
      <c r="J61" s="12">
        <f>MONTH(Dataset[[#This Row],[Purchase_Date]])</f>
        <v>1</v>
      </c>
      <c r="K61" s="13" t="str">
        <f>TEXT(Dataset[[#This Row],[Purchase_Date]],"mm - [$-409]mmmm")</f>
        <v>01 - January</v>
      </c>
      <c r="L61" s="11" t="str">
        <f>IF(Dataset[[#This Row],[Purchase_Date]]="","",YEAR(Dataset[[#This Row],[Purchase_Date]]))</f>
        <v/>
      </c>
      <c r="M61" s="11" t="str" cm="1">
        <f t="array" ref="M61">_xlfn.IFS(B61&lt;=25, "Young Adults", B61&lt;=35, "Emerging Professionals", B61&lt;=50, "Established Adults", TRUE, "Mature Customers")</f>
        <v>Emerging Professionals</v>
      </c>
      <c r="N61" s="11" t="str">
        <f>IF(Dataset[[#This Row],[Total_Spent (€)]]&lt;10,"Low Spender",IF(Dataset[[#This Row],[Total_Spent (€)]]&lt;25,"Medium Spender","High Spender"))</f>
        <v>Low Spender</v>
      </c>
    </row>
    <row r="62" spans="1:14" x14ac:dyDescent="0.2">
      <c r="A62" s="14" t="s">
        <v>764</v>
      </c>
      <c r="B62" s="11">
        <v>47</v>
      </c>
      <c r="C62" s="11" t="s">
        <v>13</v>
      </c>
      <c r="D62" s="11">
        <v>33.93</v>
      </c>
      <c r="E62" s="11" t="s">
        <v>763</v>
      </c>
      <c r="F62" s="11" t="s">
        <v>509</v>
      </c>
      <c r="G62" s="11">
        <v>1</v>
      </c>
      <c r="H62" s="11">
        <v>7.57</v>
      </c>
      <c r="I62" s="11" t="str">
        <f>TEXT(Dataset[[#This Row],[Purchase_Date]],"[$-409]mmmm")</f>
        <v>July</v>
      </c>
      <c r="J62" s="12">
        <f>MONTH(Dataset[[#This Row],[Purchase_Date]])</f>
        <v>7</v>
      </c>
      <c r="K62" s="13" t="str">
        <f>TEXT(Dataset[[#This Row],[Purchase_Date]],"mm - [$-409]mmmm")</f>
        <v>07 - July</v>
      </c>
      <c r="L62" s="11">
        <f>IF(Dataset[[#This Row],[Purchase_Date]]="","",YEAR(Dataset[[#This Row],[Purchase_Date]]))</f>
        <v>2024</v>
      </c>
      <c r="M62" s="11" t="str" cm="1">
        <f t="array" ref="M62">_xlfn.IFS(B62&lt;=25, "Young Adults", B62&lt;=35, "Emerging Professionals", B62&lt;=50, "Established Adults", TRUE, "Mature Customers")</f>
        <v>Established Adults</v>
      </c>
      <c r="N62" s="11" t="str">
        <f>IF(Dataset[[#This Row],[Total_Spent (€)]]&lt;10,"Low Spender",IF(Dataset[[#This Row],[Total_Spent (€)]]&lt;25,"Medium Spender","High Spender"))</f>
        <v>High Spender</v>
      </c>
    </row>
    <row r="63" spans="1:14" x14ac:dyDescent="0.2">
      <c r="A63" s="14" t="s">
        <v>762</v>
      </c>
      <c r="B63" s="11">
        <v>28</v>
      </c>
      <c r="C63" s="11" t="s">
        <v>843</v>
      </c>
      <c r="D63" s="11">
        <v>11.45</v>
      </c>
      <c r="E63" s="11" t="s">
        <v>8</v>
      </c>
      <c r="F63" s="11" t="s">
        <v>183</v>
      </c>
      <c r="G63" s="11">
        <v>1</v>
      </c>
      <c r="H63" s="11">
        <v>4.4400000000000004</v>
      </c>
      <c r="I63" s="11" t="str">
        <f>TEXT(Dataset[[#This Row],[Purchase_Date]],"[$-409]mmmm")</f>
        <v>April</v>
      </c>
      <c r="J63" s="12">
        <f>MONTH(Dataset[[#This Row],[Purchase_Date]])</f>
        <v>4</v>
      </c>
      <c r="K63" s="13" t="str">
        <f>TEXT(Dataset[[#This Row],[Purchase_Date]],"mm - [$-409]mmmm")</f>
        <v>04 - April</v>
      </c>
      <c r="L63" s="11">
        <f>IF(Dataset[[#This Row],[Purchase_Date]]="","",YEAR(Dataset[[#This Row],[Purchase_Date]]))</f>
        <v>2025</v>
      </c>
      <c r="M63" s="11" t="str" cm="1">
        <f t="array" ref="M63">_xlfn.IFS(B63&lt;=25, "Young Adults", B63&lt;=35, "Emerging Professionals", B63&lt;=50, "Established Adults", TRUE, "Mature Customers")</f>
        <v>Emerging Professionals</v>
      </c>
      <c r="N63" s="11" t="str">
        <f>IF(Dataset[[#This Row],[Total_Spent (€)]]&lt;10,"Low Spender",IF(Dataset[[#This Row],[Total_Spent (€)]]&lt;25,"Medium Spender","High Spender"))</f>
        <v>Medium Spender</v>
      </c>
    </row>
    <row r="64" spans="1:14" x14ac:dyDescent="0.2">
      <c r="A64" s="14" t="s">
        <v>761</v>
      </c>
      <c r="B64" s="11">
        <v>43</v>
      </c>
      <c r="C64" s="11" t="s">
        <v>841</v>
      </c>
      <c r="D64" s="11">
        <v>32.08</v>
      </c>
      <c r="E64" s="11" t="s">
        <v>170</v>
      </c>
      <c r="F64" s="11" t="s">
        <v>412</v>
      </c>
      <c r="G64" s="11">
        <v>1</v>
      </c>
      <c r="H64" s="11">
        <v>2.58</v>
      </c>
      <c r="I64" s="11" t="str">
        <f>TEXT(Dataset[[#This Row],[Purchase_Date]],"[$-409]mmmm")</f>
        <v>June</v>
      </c>
      <c r="J64" s="12">
        <f>MONTH(Dataset[[#This Row],[Purchase_Date]])</f>
        <v>6</v>
      </c>
      <c r="K64" s="13" t="str">
        <f>TEXT(Dataset[[#This Row],[Purchase_Date]],"mm - [$-409]mmmm")</f>
        <v>06 - June</v>
      </c>
      <c r="L64" s="11">
        <f>IF(Dataset[[#This Row],[Purchase_Date]]="","",YEAR(Dataset[[#This Row],[Purchase_Date]]))</f>
        <v>2024</v>
      </c>
      <c r="M64" s="11" t="str" cm="1">
        <f t="array" ref="M64">_xlfn.IFS(B64&lt;=25, "Young Adults", B64&lt;=35, "Emerging Professionals", B64&lt;=50, "Established Adults", TRUE, "Mature Customers")</f>
        <v>Established Adults</v>
      </c>
      <c r="N64" s="11" t="str">
        <f>IF(Dataset[[#This Row],[Total_Spent (€)]]&lt;10,"Low Spender",IF(Dataset[[#This Row],[Total_Spent (€)]]&lt;25,"Medium Spender","High Spender"))</f>
        <v>High Spender</v>
      </c>
    </row>
    <row r="65" spans="1:14" x14ac:dyDescent="0.2">
      <c r="A65" s="14" t="s">
        <v>760</v>
      </c>
      <c r="B65" s="11">
        <v>27</v>
      </c>
      <c r="C65" s="11" t="s">
        <v>20</v>
      </c>
      <c r="D65" s="11"/>
      <c r="F65" s="11" t="s">
        <v>328</v>
      </c>
      <c r="G65" s="11">
        <v>0</v>
      </c>
      <c r="H65" s="11">
        <v>7.09</v>
      </c>
      <c r="I65" s="11" t="str">
        <f>TEXT(Dataset[[#This Row],[Purchase_Date]],"[$-409]mmmm")</f>
        <v>January</v>
      </c>
      <c r="J65" s="12">
        <f>MONTH(Dataset[[#This Row],[Purchase_Date]])</f>
        <v>1</v>
      </c>
      <c r="K65" s="13" t="str">
        <f>TEXT(Dataset[[#This Row],[Purchase_Date]],"mm - [$-409]mmmm")</f>
        <v>01 - January</v>
      </c>
      <c r="L65" s="11" t="str">
        <f>IF(Dataset[[#This Row],[Purchase_Date]]="","",YEAR(Dataset[[#This Row],[Purchase_Date]]))</f>
        <v/>
      </c>
      <c r="M65" s="11" t="str" cm="1">
        <f t="array" ref="M65">_xlfn.IFS(B65&lt;=25, "Young Adults", B65&lt;=35, "Emerging Professionals", B65&lt;=50, "Established Adults", TRUE, "Mature Customers")</f>
        <v>Emerging Professionals</v>
      </c>
      <c r="N65" s="11" t="str">
        <f>IF(Dataset[[#This Row],[Total_Spent (€)]]&lt;10,"Low Spender",IF(Dataset[[#This Row],[Total_Spent (€)]]&lt;25,"Medium Spender","High Spender"))</f>
        <v>Low Spender</v>
      </c>
    </row>
    <row r="66" spans="1:14" x14ac:dyDescent="0.2">
      <c r="A66" s="14" t="s">
        <v>759</v>
      </c>
      <c r="B66" s="11">
        <v>52</v>
      </c>
      <c r="C66" s="11" t="s">
        <v>844</v>
      </c>
      <c r="D66" s="11">
        <v>13.75</v>
      </c>
      <c r="E66" s="11" t="s">
        <v>299</v>
      </c>
      <c r="F66" s="11" t="s">
        <v>438</v>
      </c>
      <c r="G66" s="11">
        <v>1</v>
      </c>
      <c r="H66" s="11">
        <v>5.78</v>
      </c>
      <c r="I66" s="11" t="str">
        <f>TEXT(Dataset[[#This Row],[Purchase_Date]],"[$-409]mmmm")</f>
        <v>September</v>
      </c>
      <c r="J66" s="12">
        <f>MONTH(Dataset[[#This Row],[Purchase_Date]])</f>
        <v>9</v>
      </c>
      <c r="K66" s="13" t="str">
        <f>TEXT(Dataset[[#This Row],[Purchase_Date]],"mm - [$-409]mmmm")</f>
        <v>09 - September</v>
      </c>
      <c r="L66" s="11">
        <f>IF(Dataset[[#This Row],[Purchase_Date]]="","",YEAR(Dataset[[#This Row],[Purchase_Date]]))</f>
        <v>2024</v>
      </c>
      <c r="M66" s="11" t="str" cm="1">
        <f t="array" ref="M66">_xlfn.IFS(B66&lt;=25, "Young Adults", B66&lt;=35, "Emerging Professionals", B66&lt;=50, "Established Adults", TRUE, "Mature Customers")</f>
        <v>Mature Customers</v>
      </c>
      <c r="N66" s="11" t="str">
        <f>IF(Dataset[[#This Row],[Total_Spent (€)]]&lt;10,"Low Spender",IF(Dataset[[#This Row],[Total_Spent (€)]]&lt;25,"Medium Spender","High Spender"))</f>
        <v>Medium Spender</v>
      </c>
    </row>
    <row r="67" spans="1:14" x14ac:dyDescent="0.2">
      <c r="A67" s="14" t="s">
        <v>758</v>
      </c>
      <c r="B67" s="11">
        <v>27</v>
      </c>
      <c r="C67" s="11" t="s">
        <v>20</v>
      </c>
      <c r="D67" s="11"/>
      <c r="F67" s="11" t="s">
        <v>691</v>
      </c>
      <c r="G67" s="11">
        <v>0</v>
      </c>
      <c r="H67" s="11">
        <v>7.32</v>
      </c>
      <c r="I67" s="11" t="str">
        <f>TEXT(Dataset[[#This Row],[Purchase_Date]],"[$-409]mmmm")</f>
        <v>January</v>
      </c>
      <c r="J67" s="12">
        <f>MONTH(Dataset[[#This Row],[Purchase_Date]])</f>
        <v>1</v>
      </c>
      <c r="K67" s="13" t="str">
        <f>TEXT(Dataset[[#This Row],[Purchase_Date]],"mm - [$-409]mmmm")</f>
        <v>01 - January</v>
      </c>
      <c r="L67" s="11" t="str">
        <f>IF(Dataset[[#This Row],[Purchase_Date]]="","",YEAR(Dataset[[#This Row],[Purchase_Date]]))</f>
        <v/>
      </c>
      <c r="M67" s="11" t="str" cm="1">
        <f t="array" ref="M67">_xlfn.IFS(B67&lt;=25, "Young Adults", B67&lt;=35, "Emerging Professionals", B67&lt;=50, "Established Adults", TRUE, "Mature Customers")</f>
        <v>Emerging Professionals</v>
      </c>
      <c r="N67" s="11" t="str">
        <f>IF(Dataset[[#This Row],[Total_Spent (€)]]&lt;10,"Low Spender",IF(Dataset[[#This Row],[Total_Spent (€)]]&lt;25,"Medium Spender","High Spender"))</f>
        <v>Low Spender</v>
      </c>
    </row>
    <row r="68" spans="1:14" x14ac:dyDescent="0.2">
      <c r="A68" s="14" t="s">
        <v>757</v>
      </c>
      <c r="B68" s="11">
        <v>22</v>
      </c>
      <c r="C68" s="11" t="s">
        <v>17</v>
      </c>
      <c r="D68" s="11">
        <v>9.15</v>
      </c>
      <c r="E68" s="11" t="s">
        <v>756</v>
      </c>
      <c r="F68" s="11" t="s">
        <v>472</v>
      </c>
      <c r="G68" s="11">
        <v>1</v>
      </c>
      <c r="H68" s="11">
        <v>6.9</v>
      </c>
      <c r="I68" s="11" t="str">
        <f>TEXT(Dataset[[#This Row],[Purchase_Date]],"[$-409]mmmm")</f>
        <v>May</v>
      </c>
      <c r="J68" s="12">
        <f>MONTH(Dataset[[#This Row],[Purchase_Date]])</f>
        <v>5</v>
      </c>
      <c r="K68" s="13" t="str">
        <f>TEXT(Dataset[[#This Row],[Purchase_Date]],"mm - [$-409]mmmm")</f>
        <v>05 - May</v>
      </c>
      <c r="L68" s="11">
        <f>IF(Dataset[[#This Row],[Purchase_Date]]="","",YEAR(Dataset[[#This Row],[Purchase_Date]]))</f>
        <v>2025</v>
      </c>
      <c r="M68" s="11" t="str" cm="1">
        <f t="array" ref="M68">_xlfn.IFS(B68&lt;=25, "Young Adults", B68&lt;=35, "Emerging Professionals", B68&lt;=50, "Established Adults", TRUE, "Mature Customers")</f>
        <v>Young Adults</v>
      </c>
      <c r="N68" s="11" t="str">
        <f>IF(Dataset[[#This Row],[Total_Spent (€)]]&lt;10,"Low Spender",IF(Dataset[[#This Row],[Total_Spent (€)]]&lt;25,"Medium Spender","High Spender"))</f>
        <v>Low Spender</v>
      </c>
    </row>
    <row r="69" spans="1:14" x14ac:dyDescent="0.2">
      <c r="A69" s="14" t="s">
        <v>755</v>
      </c>
      <c r="B69" s="11">
        <v>36</v>
      </c>
      <c r="C69" s="11" t="s">
        <v>5</v>
      </c>
      <c r="D69" s="11"/>
      <c r="F69" s="11" t="s">
        <v>334</v>
      </c>
      <c r="G69" s="11">
        <v>0</v>
      </c>
      <c r="H69" s="11">
        <v>7.14</v>
      </c>
      <c r="I69" s="11" t="str">
        <f>TEXT(Dataset[[#This Row],[Purchase_Date]],"[$-409]mmmm")</f>
        <v>January</v>
      </c>
      <c r="J69" s="12">
        <f>MONTH(Dataset[[#This Row],[Purchase_Date]])</f>
        <v>1</v>
      </c>
      <c r="K69" s="13" t="str">
        <f>TEXT(Dataset[[#This Row],[Purchase_Date]],"mm - [$-409]mmmm")</f>
        <v>01 - January</v>
      </c>
      <c r="L69" s="11" t="str">
        <f>IF(Dataset[[#This Row],[Purchase_Date]]="","",YEAR(Dataset[[#This Row],[Purchase_Date]]))</f>
        <v/>
      </c>
      <c r="M69" s="11" t="str" cm="1">
        <f t="array" ref="M69">_xlfn.IFS(B69&lt;=25, "Young Adults", B69&lt;=35, "Emerging Professionals", B69&lt;=50, "Established Adults", TRUE, "Mature Customers")</f>
        <v>Established Adults</v>
      </c>
      <c r="N69" s="11" t="str">
        <f>IF(Dataset[[#This Row],[Total_Spent (€)]]&lt;10,"Low Spender",IF(Dataset[[#This Row],[Total_Spent (€)]]&lt;25,"Medium Spender","High Spender"))</f>
        <v>Low Spender</v>
      </c>
    </row>
    <row r="70" spans="1:14" x14ac:dyDescent="0.2">
      <c r="A70" s="14" t="s">
        <v>754</v>
      </c>
      <c r="B70" s="11">
        <v>37</v>
      </c>
      <c r="C70" s="11" t="s">
        <v>844</v>
      </c>
      <c r="D70" s="11"/>
      <c r="F70" s="11" t="s">
        <v>106</v>
      </c>
      <c r="G70" s="11">
        <v>0</v>
      </c>
      <c r="H70" s="11">
        <v>5.62</v>
      </c>
      <c r="I70" s="11" t="str">
        <f>TEXT(Dataset[[#This Row],[Purchase_Date]],"[$-409]mmmm")</f>
        <v>January</v>
      </c>
      <c r="J70" s="12">
        <f>MONTH(Dataset[[#This Row],[Purchase_Date]])</f>
        <v>1</v>
      </c>
      <c r="K70" s="13" t="str">
        <f>TEXT(Dataset[[#This Row],[Purchase_Date]],"mm - [$-409]mmmm")</f>
        <v>01 - January</v>
      </c>
      <c r="L70" s="11" t="str">
        <f>IF(Dataset[[#This Row],[Purchase_Date]]="","",YEAR(Dataset[[#This Row],[Purchase_Date]]))</f>
        <v/>
      </c>
      <c r="M70" s="11" t="str" cm="1">
        <f t="array" ref="M70">_xlfn.IFS(B70&lt;=25, "Young Adults", B70&lt;=35, "Emerging Professionals", B70&lt;=50, "Established Adults", TRUE, "Mature Customers")</f>
        <v>Established Adults</v>
      </c>
      <c r="N70" s="11" t="str">
        <f>IF(Dataset[[#This Row],[Total_Spent (€)]]&lt;10,"Low Spender",IF(Dataset[[#This Row],[Total_Spent (€)]]&lt;25,"Medium Spender","High Spender"))</f>
        <v>Low Spender</v>
      </c>
    </row>
    <row r="71" spans="1:14" x14ac:dyDescent="0.2">
      <c r="A71" s="14" t="s">
        <v>753</v>
      </c>
      <c r="B71" s="11">
        <v>29</v>
      </c>
      <c r="C71" s="11" t="s">
        <v>43</v>
      </c>
      <c r="D71" s="11"/>
      <c r="F71" s="11" t="s">
        <v>724</v>
      </c>
      <c r="G71" s="11">
        <v>0</v>
      </c>
      <c r="H71" s="11">
        <v>3.39</v>
      </c>
      <c r="I71" s="11" t="str">
        <f>TEXT(Dataset[[#This Row],[Purchase_Date]],"[$-409]mmmm")</f>
        <v>January</v>
      </c>
      <c r="J71" s="12">
        <f>MONTH(Dataset[[#This Row],[Purchase_Date]])</f>
        <v>1</v>
      </c>
      <c r="K71" s="13" t="str">
        <f>TEXT(Dataset[[#This Row],[Purchase_Date]],"mm - [$-409]mmmm")</f>
        <v>01 - January</v>
      </c>
      <c r="L71" s="11" t="str">
        <f>IF(Dataset[[#This Row],[Purchase_Date]]="","",YEAR(Dataset[[#This Row],[Purchase_Date]]))</f>
        <v/>
      </c>
      <c r="M71" s="11" t="str" cm="1">
        <f t="array" ref="M71">_xlfn.IFS(B71&lt;=25, "Young Adults", B71&lt;=35, "Emerging Professionals", B71&lt;=50, "Established Adults", TRUE, "Mature Customers")</f>
        <v>Emerging Professionals</v>
      </c>
      <c r="N71" s="11" t="str">
        <f>IF(Dataset[[#This Row],[Total_Spent (€)]]&lt;10,"Low Spender",IF(Dataset[[#This Row],[Total_Spent (€)]]&lt;25,"Medium Spender","High Spender"))</f>
        <v>Low Spender</v>
      </c>
    </row>
    <row r="72" spans="1:14" x14ac:dyDescent="0.2">
      <c r="A72" s="14" t="s">
        <v>752</v>
      </c>
      <c r="B72" s="11">
        <v>37</v>
      </c>
      <c r="C72" s="11" t="s">
        <v>847</v>
      </c>
      <c r="D72" s="11"/>
      <c r="F72" s="11" t="s">
        <v>751</v>
      </c>
      <c r="G72" s="11">
        <v>0</v>
      </c>
      <c r="H72" s="11">
        <v>7.24</v>
      </c>
      <c r="I72" s="11" t="str">
        <f>TEXT(Dataset[[#This Row],[Purchase_Date]],"[$-409]mmmm")</f>
        <v>January</v>
      </c>
      <c r="J72" s="12">
        <f>MONTH(Dataset[[#This Row],[Purchase_Date]])</f>
        <v>1</v>
      </c>
      <c r="K72" s="13" t="str">
        <f>TEXT(Dataset[[#This Row],[Purchase_Date]],"mm - [$-409]mmmm")</f>
        <v>01 - January</v>
      </c>
      <c r="L72" s="11" t="str">
        <f>IF(Dataset[[#This Row],[Purchase_Date]]="","",YEAR(Dataset[[#This Row],[Purchase_Date]]))</f>
        <v/>
      </c>
      <c r="M72" s="11" t="str" cm="1">
        <f t="array" ref="M72">_xlfn.IFS(B72&lt;=25, "Young Adults", B72&lt;=35, "Emerging Professionals", B72&lt;=50, "Established Adults", TRUE, "Mature Customers")</f>
        <v>Established Adults</v>
      </c>
      <c r="N72" s="11" t="str">
        <f>IF(Dataset[[#This Row],[Total_Spent (€)]]&lt;10,"Low Spender",IF(Dataset[[#This Row],[Total_Spent (€)]]&lt;25,"Medium Spender","High Spender"))</f>
        <v>Low Spender</v>
      </c>
    </row>
    <row r="73" spans="1:14" x14ac:dyDescent="0.2">
      <c r="A73" s="14" t="s">
        <v>750</v>
      </c>
      <c r="B73" s="11">
        <v>41</v>
      </c>
      <c r="C73" s="11" t="s">
        <v>840</v>
      </c>
      <c r="D73" s="11"/>
      <c r="F73" s="11" t="s">
        <v>47</v>
      </c>
      <c r="G73" s="11">
        <v>0</v>
      </c>
      <c r="H73" s="11">
        <v>4.84</v>
      </c>
      <c r="I73" s="11" t="str">
        <f>TEXT(Dataset[[#This Row],[Purchase_Date]],"[$-409]mmmm")</f>
        <v>January</v>
      </c>
      <c r="J73" s="12">
        <f>MONTH(Dataset[[#This Row],[Purchase_Date]])</f>
        <v>1</v>
      </c>
      <c r="K73" s="13" t="str">
        <f>TEXT(Dataset[[#This Row],[Purchase_Date]],"mm - [$-409]mmmm")</f>
        <v>01 - January</v>
      </c>
      <c r="L73" s="11" t="str">
        <f>IF(Dataset[[#This Row],[Purchase_Date]]="","",YEAR(Dataset[[#This Row],[Purchase_Date]]))</f>
        <v/>
      </c>
      <c r="M73" s="11" t="str" cm="1">
        <f t="array" ref="M73">_xlfn.IFS(B73&lt;=25, "Young Adults", B73&lt;=35, "Emerging Professionals", B73&lt;=50, "Established Adults", TRUE, "Mature Customers")</f>
        <v>Established Adults</v>
      </c>
      <c r="N73" s="11" t="str">
        <f>IF(Dataset[[#This Row],[Total_Spent (€)]]&lt;10,"Low Spender",IF(Dataset[[#This Row],[Total_Spent (€)]]&lt;25,"Medium Spender","High Spender"))</f>
        <v>Low Spender</v>
      </c>
    </row>
    <row r="74" spans="1:14" x14ac:dyDescent="0.2">
      <c r="A74" s="14" t="s">
        <v>749</v>
      </c>
      <c r="B74" s="11">
        <v>37</v>
      </c>
      <c r="C74" s="11" t="s">
        <v>841</v>
      </c>
      <c r="D74" s="11"/>
      <c r="F74" s="11" t="s">
        <v>100</v>
      </c>
      <c r="G74" s="11">
        <v>0</v>
      </c>
      <c r="H74" s="11">
        <v>3.28</v>
      </c>
      <c r="I74" s="11" t="str">
        <f>TEXT(Dataset[[#This Row],[Purchase_Date]],"[$-409]mmmm")</f>
        <v>January</v>
      </c>
      <c r="J74" s="12">
        <f>MONTH(Dataset[[#This Row],[Purchase_Date]])</f>
        <v>1</v>
      </c>
      <c r="K74" s="13" t="str">
        <f>TEXT(Dataset[[#This Row],[Purchase_Date]],"mm - [$-409]mmmm")</f>
        <v>01 - January</v>
      </c>
      <c r="L74" s="11" t="str">
        <f>IF(Dataset[[#This Row],[Purchase_Date]]="","",YEAR(Dataset[[#This Row],[Purchase_Date]]))</f>
        <v/>
      </c>
      <c r="M74" s="11" t="str" cm="1">
        <f t="array" ref="M74">_xlfn.IFS(B74&lt;=25, "Young Adults", B74&lt;=35, "Emerging Professionals", B74&lt;=50, "Established Adults", TRUE, "Mature Customers")</f>
        <v>Established Adults</v>
      </c>
      <c r="N74" s="11" t="str">
        <f>IF(Dataset[[#This Row],[Total_Spent (€)]]&lt;10,"Low Spender",IF(Dataset[[#This Row],[Total_Spent (€)]]&lt;25,"Medium Spender","High Spender"))</f>
        <v>Low Spender</v>
      </c>
    </row>
    <row r="75" spans="1:14" x14ac:dyDescent="0.2">
      <c r="A75" s="14" t="s">
        <v>748</v>
      </c>
      <c r="B75" s="11">
        <v>29</v>
      </c>
      <c r="C75" s="11" t="s">
        <v>844</v>
      </c>
      <c r="D75" s="11"/>
      <c r="F75" s="11" t="s">
        <v>106</v>
      </c>
      <c r="G75" s="11">
        <v>0</v>
      </c>
      <c r="H75" s="11">
        <v>7.31</v>
      </c>
      <c r="I75" s="11" t="str">
        <f>TEXT(Dataset[[#This Row],[Purchase_Date]],"[$-409]mmmm")</f>
        <v>January</v>
      </c>
      <c r="J75" s="12">
        <f>MONTH(Dataset[[#This Row],[Purchase_Date]])</f>
        <v>1</v>
      </c>
      <c r="K75" s="13" t="str">
        <f>TEXT(Dataset[[#This Row],[Purchase_Date]],"mm - [$-409]mmmm")</f>
        <v>01 - January</v>
      </c>
      <c r="L75" s="11" t="str">
        <f>IF(Dataset[[#This Row],[Purchase_Date]]="","",YEAR(Dataset[[#This Row],[Purchase_Date]]))</f>
        <v/>
      </c>
      <c r="M75" s="11" t="str" cm="1">
        <f t="array" ref="M75">_xlfn.IFS(B75&lt;=25, "Young Adults", B75&lt;=35, "Emerging Professionals", B75&lt;=50, "Established Adults", TRUE, "Mature Customers")</f>
        <v>Emerging Professionals</v>
      </c>
      <c r="N75" s="11" t="str">
        <f>IF(Dataset[[#This Row],[Total_Spent (€)]]&lt;10,"Low Spender",IF(Dataset[[#This Row],[Total_Spent (€)]]&lt;25,"Medium Spender","High Spender"))</f>
        <v>Low Spender</v>
      </c>
    </row>
    <row r="76" spans="1:14" x14ac:dyDescent="0.2">
      <c r="A76" s="14" t="s">
        <v>747</v>
      </c>
      <c r="B76" s="11">
        <v>36</v>
      </c>
      <c r="C76" s="11" t="s">
        <v>30</v>
      </c>
      <c r="D76" s="11">
        <v>33</v>
      </c>
      <c r="E76" s="11" t="s">
        <v>403</v>
      </c>
      <c r="F76" s="11" t="s">
        <v>650</v>
      </c>
      <c r="G76" s="11">
        <v>1</v>
      </c>
      <c r="H76" s="11">
        <v>8.35</v>
      </c>
      <c r="I76" s="11" t="str">
        <f>TEXT(Dataset[[#This Row],[Purchase_Date]],"[$-409]mmmm")</f>
        <v>June</v>
      </c>
      <c r="J76" s="12">
        <f>MONTH(Dataset[[#This Row],[Purchase_Date]])</f>
        <v>6</v>
      </c>
      <c r="K76" s="13" t="str">
        <f>TEXT(Dataset[[#This Row],[Purchase_Date]],"mm - [$-409]mmmm")</f>
        <v>06 - June</v>
      </c>
      <c r="L76" s="11">
        <f>IF(Dataset[[#This Row],[Purchase_Date]]="","",YEAR(Dataset[[#This Row],[Purchase_Date]]))</f>
        <v>2024</v>
      </c>
      <c r="M76" s="11" t="str" cm="1">
        <f t="array" ref="M76">_xlfn.IFS(B76&lt;=25, "Young Adults", B76&lt;=35, "Emerging Professionals", B76&lt;=50, "Established Adults", TRUE, "Mature Customers")</f>
        <v>Established Adults</v>
      </c>
      <c r="N76" s="11" t="str">
        <f>IF(Dataset[[#This Row],[Total_Spent (€)]]&lt;10,"Low Spender",IF(Dataset[[#This Row],[Total_Spent (€)]]&lt;25,"Medium Spender","High Spender"))</f>
        <v>High Spender</v>
      </c>
    </row>
    <row r="77" spans="1:14" x14ac:dyDescent="0.2">
      <c r="A77" s="14" t="s">
        <v>746</v>
      </c>
      <c r="B77" s="11">
        <v>41</v>
      </c>
      <c r="C77" s="11" t="s">
        <v>842</v>
      </c>
      <c r="D77" s="11">
        <v>13.41</v>
      </c>
      <c r="E77" s="11" t="s">
        <v>174</v>
      </c>
      <c r="F77" s="11" t="s">
        <v>745</v>
      </c>
      <c r="G77" s="11">
        <v>1</v>
      </c>
      <c r="H77" s="11">
        <v>8.64</v>
      </c>
      <c r="I77" s="11" t="str">
        <f>TEXT(Dataset[[#This Row],[Purchase_Date]],"[$-409]mmmm")</f>
        <v>April</v>
      </c>
      <c r="J77" s="12">
        <f>MONTH(Dataset[[#This Row],[Purchase_Date]])</f>
        <v>4</v>
      </c>
      <c r="K77" s="13" t="str">
        <f>TEXT(Dataset[[#This Row],[Purchase_Date]],"mm - [$-409]mmmm")</f>
        <v>04 - April</v>
      </c>
      <c r="L77" s="11">
        <f>IF(Dataset[[#This Row],[Purchase_Date]]="","",YEAR(Dataset[[#This Row],[Purchase_Date]]))</f>
        <v>2025</v>
      </c>
      <c r="M77" s="11" t="str" cm="1">
        <f t="array" ref="M77">_xlfn.IFS(B77&lt;=25, "Young Adults", B77&lt;=35, "Emerging Professionals", B77&lt;=50, "Established Adults", TRUE, "Mature Customers")</f>
        <v>Established Adults</v>
      </c>
      <c r="N77" s="11" t="str">
        <f>IF(Dataset[[#This Row],[Total_Spent (€)]]&lt;10,"Low Spender",IF(Dataset[[#This Row],[Total_Spent (€)]]&lt;25,"Medium Spender","High Spender"))</f>
        <v>Medium Spender</v>
      </c>
    </row>
    <row r="78" spans="1:14" x14ac:dyDescent="0.2">
      <c r="A78" s="14" t="s">
        <v>744</v>
      </c>
      <c r="B78" s="11">
        <v>44</v>
      </c>
      <c r="C78" s="11" t="s">
        <v>847</v>
      </c>
      <c r="D78" s="11"/>
      <c r="F78" s="11" t="s">
        <v>244</v>
      </c>
      <c r="G78" s="11">
        <v>0</v>
      </c>
      <c r="H78" s="11">
        <v>9.4700000000000006</v>
      </c>
      <c r="I78" s="11" t="str">
        <f>TEXT(Dataset[[#This Row],[Purchase_Date]],"[$-409]mmmm")</f>
        <v>January</v>
      </c>
      <c r="J78" s="12">
        <f>MONTH(Dataset[[#This Row],[Purchase_Date]])</f>
        <v>1</v>
      </c>
      <c r="K78" s="13" t="str">
        <f>TEXT(Dataset[[#This Row],[Purchase_Date]],"mm - [$-409]mmmm")</f>
        <v>01 - January</v>
      </c>
      <c r="L78" s="11" t="str">
        <f>IF(Dataset[[#This Row],[Purchase_Date]]="","",YEAR(Dataset[[#This Row],[Purchase_Date]]))</f>
        <v/>
      </c>
      <c r="M78" s="11" t="str" cm="1">
        <f t="array" ref="M78">_xlfn.IFS(B78&lt;=25, "Young Adults", B78&lt;=35, "Emerging Professionals", B78&lt;=50, "Established Adults", TRUE, "Mature Customers")</f>
        <v>Established Adults</v>
      </c>
      <c r="N78" s="11" t="str">
        <f>IF(Dataset[[#This Row],[Total_Spent (€)]]&lt;10,"Low Spender",IF(Dataset[[#This Row],[Total_Spent (€)]]&lt;25,"Medium Spender","High Spender"))</f>
        <v>Low Spender</v>
      </c>
    </row>
    <row r="79" spans="1:14" x14ac:dyDescent="0.2">
      <c r="A79" s="14" t="s">
        <v>743</v>
      </c>
      <c r="B79" s="11">
        <v>54</v>
      </c>
      <c r="C79" s="11" t="s">
        <v>61</v>
      </c>
      <c r="D79" s="11">
        <v>21.39</v>
      </c>
      <c r="E79" s="11" t="s">
        <v>742</v>
      </c>
      <c r="F79" s="11" t="s">
        <v>623</v>
      </c>
      <c r="G79" s="11">
        <v>1</v>
      </c>
      <c r="H79" s="11">
        <v>3.42</v>
      </c>
      <c r="I79" s="11" t="str">
        <f>TEXT(Dataset[[#This Row],[Purchase_Date]],"[$-409]mmmm")</f>
        <v>October</v>
      </c>
      <c r="J79" s="12">
        <f>MONTH(Dataset[[#This Row],[Purchase_Date]])</f>
        <v>10</v>
      </c>
      <c r="K79" s="13" t="str">
        <f>TEXT(Dataset[[#This Row],[Purchase_Date]],"mm - [$-409]mmmm")</f>
        <v>10 - October</v>
      </c>
      <c r="L79" s="11">
        <f>IF(Dataset[[#This Row],[Purchase_Date]]="","",YEAR(Dataset[[#This Row],[Purchase_Date]]))</f>
        <v>2024</v>
      </c>
      <c r="M79" s="11" t="str" cm="1">
        <f t="array" ref="M79">_xlfn.IFS(B79&lt;=25, "Young Adults", B79&lt;=35, "Emerging Professionals", B79&lt;=50, "Established Adults", TRUE, "Mature Customers")</f>
        <v>Mature Customers</v>
      </c>
      <c r="N79" s="11" t="str">
        <f>IF(Dataset[[#This Row],[Total_Spent (€)]]&lt;10,"Low Spender",IF(Dataset[[#This Row],[Total_Spent (€)]]&lt;25,"Medium Spender","High Spender"))</f>
        <v>Medium Spender</v>
      </c>
    </row>
    <row r="80" spans="1:14" x14ac:dyDescent="0.2">
      <c r="A80" s="14" t="s">
        <v>741</v>
      </c>
      <c r="B80" s="11">
        <v>18</v>
      </c>
      <c r="C80" s="11" t="s">
        <v>841</v>
      </c>
      <c r="D80" s="11"/>
      <c r="F80" s="11" t="s">
        <v>740</v>
      </c>
      <c r="G80" s="11">
        <v>0</v>
      </c>
      <c r="H80" s="11">
        <v>2.13</v>
      </c>
      <c r="I80" s="11" t="str">
        <f>TEXT(Dataset[[#This Row],[Purchase_Date]],"[$-409]mmmm")</f>
        <v>January</v>
      </c>
      <c r="J80" s="12">
        <f>MONTH(Dataset[[#This Row],[Purchase_Date]])</f>
        <v>1</v>
      </c>
      <c r="K80" s="13" t="str">
        <f>TEXT(Dataset[[#This Row],[Purchase_Date]],"mm - [$-409]mmmm")</f>
        <v>01 - January</v>
      </c>
      <c r="L80" s="11" t="str">
        <f>IF(Dataset[[#This Row],[Purchase_Date]]="","",YEAR(Dataset[[#This Row],[Purchase_Date]]))</f>
        <v/>
      </c>
      <c r="M80" s="11" t="str" cm="1">
        <f t="array" ref="M80">_xlfn.IFS(B80&lt;=25, "Young Adults", B80&lt;=35, "Emerging Professionals", B80&lt;=50, "Established Adults", TRUE, "Mature Customers")</f>
        <v>Young Adults</v>
      </c>
      <c r="N80" s="11" t="str">
        <f>IF(Dataset[[#This Row],[Total_Spent (€)]]&lt;10,"Low Spender",IF(Dataset[[#This Row],[Total_Spent (€)]]&lt;25,"Medium Spender","High Spender"))</f>
        <v>Low Spender</v>
      </c>
    </row>
    <row r="81" spans="1:14" x14ac:dyDescent="0.2">
      <c r="A81" s="14" t="s">
        <v>739</v>
      </c>
      <c r="B81" s="11">
        <v>28</v>
      </c>
      <c r="C81" s="11" t="s">
        <v>43</v>
      </c>
      <c r="D81" s="11"/>
      <c r="F81" s="11" t="s">
        <v>672</v>
      </c>
      <c r="G81" s="11">
        <v>0</v>
      </c>
      <c r="H81" s="11">
        <v>2.63</v>
      </c>
      <c r="I81" s="11" t="str">
        <f>TEXT(Dataset[[#This Row],[Purchase_Date]],"[$-409]mmmm")</f>
        <v>January</v>
      </c>
      <c r="J81" s="12">
        <f>MONTH(Dataset[[#This Row],[Purchase_Date]])</f>
        <v>1</v>
      </c>
      <c r="K81" s="13" t="str">
        <f>TEXT(Dataset[[#This Row],[Purchase_Date]],"mm - [$-409]mmmm")</f>
        <v>01 - January</v>
      </c>
      <c r="L81" s="11" t="str">
        <f>IF(Dataset[[#This Row],[Purchase_Date]]="","",YEAR(Dataset[[#This Row],[Purchase_Date]]))</f>
        <v/>
      </c>
      <c r="M81" s="11" t="str" cm="1">
        <f t="array" ref="M81">_xlfn.IFS(B81&lt;=25, "Young Adults", B81&lt;=35, "Emerging Professionals", B81&lt;=50, "Established Adults", TRUE, "Mature Customers")</f>
        <v>Emerging Professionals</v>
      </c>
      <c r="N81" s="11" t="str">
        <f>IF(Dataset[[#This Row],[Total_Spent (€)]]&lt;10,"Low Spender",IF(Dataset[[#This Row],[Total_Spent (€)]]&lt;25,"Medium Spender","High Spender"))</f>
        <v>Low Spender</v>
      </c>
    </row>
    <row r="82" spans="1:14" x14ac:dyDescent="0.2">
      <c r="A82" s="14" t="s">
        <v>738</v>
      </c>
      <c r="B82" s="11">
        <v>51</v>
      </c>
      <c r="C82" s="11" t="s">
        <v>152</v>
      </c>
      <c r="D82" s="11"/>
      <c r="F82" s="11" t="s">
        <v>737</v>
      </c>
      <c r="G82" s="11">
        <v>0</v>
      </c>
      <c r="H82" s="11">
        <v>9.26</v>
      </c>
      <c r="I82" s="11" t="str">
        <f>TEXT(Dataset[[#This Row],[Purchase_Date]],"[$-409]mmmm")</f>
        <v>January</v>
      </c>
      <c r="J82" s="12">
        <f>MONTH(Dataset[[#This Row],[Purchase_Date]])</f>
        <v>1</v>
      </c>
      <c r="K82" s="13" t="str">
        <f>TEXT(Dataset[[#This Row],[Purchase_Date]],"mm - [$-409]mmmm")</f>
        <v>01 - January</v>
      </c>
      <c r="L82" s="11" t="str">
        <f>IF(Dataset[[#This Row],[Purchase_Date]]="","",YEAR(Dataset[[#This Row],[Purchase_Date]]))</f>
        <v/>
      </c>
      <c r="M82" s="11" t="str" cm="1">
        <f t="array" ref="M82">_xlfn.IFS(B82&lt;=25, "Young Adults", B82&lt;=35, "Emerging Professionals", B82&lt;=50, "Established Adults", TRUE, "Mature Customers")</f>
        <v>Mature Customers</v>
      </c>
      <c r="N82" s="11" t="str">
        <f>IF(Dataset[[#This Row],[Total_Spent (€)]]&lt;10,"Low Spender",IF(Dataset[[#This Row],[Total_Spent (€)]]&lt;25,"Medium Spender","High Spender"))</f>
        <v>Low Spender</v>
      </c>
    </row>
    <row r="83" spans="1:14" x14ac:dyDescent="0.2">
      <c r="A83" s="14" t="s">
        <v>736</v>
      </c>
      <c r="B83" s="11">
        <v>27</v>
      </c>
      <c r="C83" s="11" t="s">
        <v>38</v>
      </c>
      <c r="D83" s="11"/>
      <c r="F83" s="11" t="s">
        <v>401</v>
      </c>
      <c r="G83" s="11">
        <v>0</v>
      </c>
      <c r="H83" s="11">
        <v>5.39</v>
      </c>
      <c r="I83" s="11" t="str">
        <f>TEXT(Dataset[[#This Row],[Purchase_Date]],"[$-409]mmmm")</f>
        <v>January</v>
      </c>
      <c r="J83" s="12">
        <f>MONTH(Dataset[[#This Row],[Purchase_Date]])</f>
        <v>1</v>
      </c>
      <c r="K83" s="13" t="str">
        <f>TEXT(Dataset[[#This Row],[Purchase_Date]],"mm - [$-409]mmmm")</f>
        <v>01 - January</v>
      </c>
      <c r="L83" s="11" t="str">
        <f>IF(Dataset[[#This Row],[Purchase_Date]]="","",YEAR(Dataset[[#This Row],[Purchase_Date]]))</f>
        <v/>
      </c>
      <c r="M83" s="11" t="str" cm="1">
        <f t="array" ref="M83">_xlfn.IFS(B83&lt;=25, "Young Adults", B83&lt;=35, "Emerging Professionals", B83&lt;=50, "Established Adults", TRUE, "Mature Customers")</f>
        <v>Emerging Professionals</v>
      </c>
      <c r="N83" s="11" t="str">
        <f>IF(Dataset[[#This Row],[Total_Spent (€)]]&lt;10,"Low Spender",IF(Dataset[[#This Row],[Total_Spent (€)]]&lt;25,"Medium Spender","High Spender"))</f>
        <v>Low Spender</v>
      </c>
    </row>
    <row r="84" spans="1:14" x14ac:dyDescent="0.2">
      <c r="A84" s="14" t="s">
        <v>735</v>
      </c>
      <c r="B84" s="11">
        <v>45</v>
      </c>
      <c r="C84" s="11" t="s">
        <v>5</v>
      </c>
      <c r="D84" s="11"/>
      <c r="F84" s="11" t="s">
        <v>63</v>
      </c>
      <c r="G84" s="11">
        <v>0</v>
      </c>
      <c r="H84" s="11">
        <v>8.17</v>
      </c>
      <c r="I84" s="11" t="str">
        <f>TEXT(Dataset[[#This Row],[Purchase_Date]],"[$-409]mmmm")</f>
        <v>January</v>
      </c>
      <c r="J84" s="12">
        <f>MONTH(Dataset[[#This Row],[Purchase_Date]])</f>
        <v>1</v>
      </c>
      <c r="K84" s="13" t="str">
        <f>TEXT(Dataset[[#This Row],[Purchase_Date]],"mm - [$-409]mmmm")</f>
        <v>01 - January</v>
      </c>
      <c r="L84" s="11" t="str">
        <f>IF(Dataset[[#This Row],[Purchase_Date]]="","",YEAR(Dataset[[#This Row],[Purchase_Date]]))</f>
        <v/>
      </c>
      <c r="M84" s="11" t="str" cm="1">
        <f t="array" ref="M84">_xlfn.IFS(B84&lt;=25, "Young Adults", B84&lt;=35, "Emerging Professionals", B84&lt;=50, "Established Adults", TRUE, "Mature Customers")</f>
        <v>Established Adults</v>
      </c>
      <c r="N84" s="11" t="str">
        <f>IF(Dataset[[#This Row],[Total_Spent (€)]]&lt;10,"Low Spender",IF(Dataset[[#This Row],[Total_Spent (€)]]&lt;25,"Medium Spender","High Spender"))</f>
        <v>Low Spender</v>
      </c>
    </row>
    <row r="85" spans="1:14" x14ac:dyDescent="0.2">
      <c r="A85" s="14" t="s">
        <v>734</v>
      </c>
      <c r="B85" s="11">
        <v>50</v>
      </c>
      <c r="C85" s="11" t="s">
        <v>840</v>
      </c>
      <c r="D85" s="11"/>
      <c r="F85" s="11" t="s">
        <v>733</v>
      </c>
      <c r="G85" s="11">
        <v>0</v>
      </c>
      <c r="H85" s="11">
        <v>5.58</v>
      </c>
      <c r="I85" s="11" t="str">
        <f>TEXT(Dataset[[#This Row],[Purchase_Date]],"[$-409]mmmm")</f>
        <v>January</v>
      </c>
      <c r="J85" s="12">
        <f>MONTH(Dataset[[#This Row],[Purchase_Date]])</f>
        <v>1</v>
      </c>
      <c r="K85" s="13" t="str">
        <f>TEXT(Dataset[[#This Row],[Purchase_Date]],"mm - [$-409]mmmm")</f>
        <v>01 - January</v>
      </c>
      <c r="L85" s="11" t="str">
        <f>IF(Dataset[[#This Row],[Purchase_Date]]="","",YEAR(Dataset[[#This Row],[Purchase_Date]]))</f>
        <v/>
      </c>
      <c r="M85" s="11" t="str" cm="1">
        <f t="array" ref="M85">_xlfn.IFS(B85&lt;=25, "Young Adults", B85&lt;=35, "Emerging Professionals", B85&lt;=50, "Established Adults", TRUE, "Mature Customers")</f>
        <v>Established Adults</v>
      </c>
      <c r="N85" s="11" t="str">
        <f>IF(Dataset[[#This Row],[Total_Spent (€)]]&lt;10,"Low Spender",IF(Dataset[[#This Row],[Total_Spent (€)]]&lt;25,"Medium Spender","High Spender"))</f>
        <v>Low Spender</v>
      </c>
    </row>
    <row r="86" spans="1:14" x14ac:dyDescent="0.2">
      <c r="A86" s="14" t="s">
        <v>732</v>
      </c>
      <c r="B86" s="11">
        <v>28</v>
      </c>
      <c r="C86" s="11" t="s">
        <v>845</v>
      </c>
      <c r="D86" s="11">
        <v>16.36</v>
      </c>
      <c r="E86" s="11" t="s">
        <v>519</v>
      </c>
      <c r="F86" s="11" t="s">
        <v>100</v>
      </c>
      <c r="G86" s="11">
        <v>1</v>
      </c>
      <c r="H86" s="11">
        <v>7.36</v>
      </c>
      <c r="I86" s="11" t="str">
        <f>TEXT(Dataset[[#This Row],[Purchase_Date]],"[$-409]mmmm")</f>
        <v>July</v>
      </c>
      <c r="J86" s="12">
        <f>MONTH(Dataset[[#This Row],[Purchase_Date]])</f>
        <v>7</v>
      </c>
      <c r="K86" s="13" t="str">
        <f>TEXT(Dataset[[#This Row],[Purchase_Date]],"mm - [$-409]mmmm")</f>
        <v>07 - July</v>
      </c>
      <c r="L86" s="11">
        <f>IF(Dataset[[#This Row],[Purchase_Date]]="","",YEAR(Dataset[[#This Row],[Purchase_Date]]))</f>
        <v>2024</v>
      </c>
      <c r="M86" s="11" t="str" cm="1">
        <f t="array" ref="M86">_xlfn.IFS(B86&lt;=25, "Young Adults", B86&lt;=35, "Emerging Professionals", B86&lt;=50, "Established Adults", TRUE, "Mature Customers")</f>
        <v>Emerging Professionals</v>
      </c>
      <c r="N86" s="11" t="str">
        <f>IF(Dataset[[#This Row],[Total_Spent (€)]]&lt;10,"Low Spender",IF(Dataset[[#This Row],[Total_Spent (€)]]&lt;25,"Medium Spender","High Spender"))</f>
        <v>Medium Spender</v>
      </c>
    </row>
    <row r="87" spans="1:14" x14ac:dyDescent="0.2">
      <c r="A87" s="14" t="s">
        <v>731</v>
      </c>
      <c r="B87" s="11">
        <v>34</v>
      </c>
      <c r="C87" s="11" t="s">
        <v>13</v>
      </c>
      <c r="D87" s="11"/>
      <c r="F87" s="11" t="s">
        <v>730</v>
      </c>
      <c r="G87" s="11">
        <v>0</v>
      </c>
      <c r="H87" s="11">
        <v>2.63</v>
      </c>
      <c r="I87" s="11" t="str">
        <f>TEXT(Dataset[[#This Row],[Purchase_Date]],"[$-409]mmmm")</f>
        <v>January</v>
      </c>
      <c r="J87" s="12">
        <f>MONTH(Dataset[[#This Row],[Purchase_Date]])</f>
        <v>1</v>
      </c>
      <c r="K87" s="13" t="str">
        <f>TEXT(Dataset[[#This Row],[Purchase_Date]],"mm - [$-409]mmmm")</f>
        <v>01 - January</v>
      </c>
      <c r="L87" s="11" t="str">
        <f>IF(Dataset[[#This Row],[Purchase_Date]]="","",YEAR(Dataset[[#This Row],[Purchase_Date]]))</f>
        <v/>
      </c>
      <c r="M87" s="11" t="str" cm="1">
        <f t="array" ref="M87">_xlfn.IFS(B87&lt;=25, "Young Adults", B87&lt;=35, "Emerging Professionals", B87&lt;=50, "Established Adults", TRUE, "Mature Customers")</f>
        <v>Emerging Professionals</v>
      </c>
      <c r="N87" s="11" t="str">
        <f>IF(Dataset[[#This Row],[Total_Spent (€)]]&lt;10,"Low Spender",IF(Dataset[[#This Row],[Total_Spent (€)]]&lt;25,"Medium Spender","High Spender"))</f>
        <v>Low Spender</v>
      </c>
    </row>
    <row r="88" spans="1:14" x14ac:dyDescent="0.2">
      <c r="A88" s="14" t="s">
        <v>729</v>
      </c>
      <c r="B88" s="11">
        <v>39</v>
      </c>
      <c r="C88" s="11" t="s">
        <v>840</v>
      </c>
      <c r="D88" s="11">
        <v>25.73</v>
      </c>
      <c r="E88" s="11" t="s">
        <v>467</v>
      </c>
      <c r="F88" s="11" t="s">
        <v>369</v>
      </c>
      <c r="G88" s="11">
        <v>1</v>
      </c>
      <c r="H88" s="11">
        <v>4.79</v>
      </c>
      <c r="I88" s="11" t="str">
        <f>TEXT(Dataset[[#This Row],[Purchase_Date]],"[$-409]mmmm")</f>
        <v>May</v>
      </c>
      <c r="J88" s="12">
        <f>MONTH(Dataset[[#This Row],[Purchase_Date]])</f>
        <v>5</v>
      </c>
      <c r="K88" s="13" t="str">
        <f>TEXT(Dataset[[#This Row],[Purchase_Date]],"mm - [$-409]mmmm")</f>
        <v>05 - May</v>
      </c>
      <c r="L88" s="11">
        <f>IF(Dataset[[#This Row],[Purchase_Date]]="","",YEAR(Dataset[[#This Row],[Purchase_Date]]))</f>
        <v>2025</v>
      </c>
      <c r="M88" s="11" t="str" cm="1">
        <f t="array" ref="M88">_xlfn.IFS(B88&lt;=25, "Young Adults", B88&lt;=35, "Emerging Professionals", B88&lt;=50, "Established Adults", TRUE, "Mature Customers")</f>
        <v>Established Adults</v>
      </c>
      <c r="N88" s="11" t="str">
        <f>IF(Dataset[[#This Row],[Total_Spent (€)]]&lt;10,"Low Spender",IF(Dataset[[#This Row],[Total_Spent (€)]]&lt;25,"Medium Spender","High Spender"))</f>
        <v>High Spender</v>
      </c>
    </row>
    <row r="89" spans="1:14" x14ac:dyDescent="0.2">
      <c r="A89" s="14" t="s">
        <v>728</v>
      </c>
      <c r="B89" s="11">
        <v>28</v>
      </c>
      <c r="C89" s="11" t="s">
        <v>75</v>
      </c>
      <c r="D89" s="11"/>
      <c r="F89" s="11" t="s">
        <v>727</v>
      </c>
      <c r="G89" s="11">
        <v>0</v>
      </c>
      <c r="H89" s="11">
        <v>3.49</v>
      </c>
      <c r="I89" s="11" t="str">
        <f>TEXT(Dataset[[#This Row],[Purchase_Date]],"[$-409]mmmm")</f>
        <v>January</v>
      </c>
      <c r="J89" s="12">
        <f>MONTH(Dataset[[#This Row],[Purchase_Date]])</f>
        <v>1</v>
      </c>
      <c r="K89" s="13" t="str">
        <f>TEXT(Dataset[[#This Row],[Purchase_Date]],"mm - [$-409]mmmm")</f>
        <v>01 - January</v>
      </c>
      <c r="L89" s="11" t="str">
        <f>IF(Dataset[[#This Row],[Purchase_Date]]="","",YEAR(Dataset[[#This Row],[Purchase_Date]]))</f>
        <v/>
      </c>
      <c r="M89" s="11" t="str" cm="1">
        <f t="array" ref="M89">_xlfn.IFS(B89&lt;=25, "Young Adults", B89&lt;=35, "Emerging Professionals", B89&lt;=50, "Established Adults", TRUE, "Mature Customers")</f>
        <v>Emerging Professionals</v>
      </c>
      <c r="N89" s="11" t="str">
        <f>IF(Dataset[[#This Row],[Total_Spent (€)]]&lt;10,"Low Spender",IF(Dataset[[#This Row],[Total_Spent (€)]]&lt;25,"Medium Spender","High Spender"))</f>
        <v>Low Spender</v>
      </c>
    </row>
    <row r="90" spans="1:14" x14ac:dyDescent="0.2">
      <c r="A90" s="14" t="s">
        <v>726</v>
      </c>
      <c r="B90" s="11">
        <v>29</v>
      </c>
      <c r="C90" s="11" t="s">
        <v>61</v>
      </c>
      <c r="D90" s="11"/>
      <c r="F90" s="11" t="s">
        <v>367</v>
      </c>
      <c r="G90" s="11">
        <v>0</v>
      </c>
      <c r="H90" s="11">
        <v>2.5</v>
      </c>
      <c r="I90" s="11" t="str">
        <f>TEXT(Dataset[[#This Row],[Purchase_Date]],"[$-409]mmmm")</f>
        <v>January</v>
      </c>
      <c r="J90" s="12">
        <f>MONTH(Dataset[[#This Row],[Purchase_Date]])</f>
        <v>1</v>
      </c>
      <c r="K90" s="13" t="str">
        <f>TEXT(Dataset[[#This Row],[Purchase_Date]],"mm - [$-409]mmmm")</f>
        <v>01 - January</v>
      </c>
      <c r="L90" s="11" t="str">
        <f>IF(Dataset[[#This Row],[Purchase_Date]]="","",YEAR(Dataset[[#This Row],[Purchase_Date]]))</f>
        <v/>
      </c>
      <c r="M90" s="11" t="str" cm="1">
        <f t="array" ref="M90">_xlfn.IFS(B90&lt;=25, "Young Adults", B90&lt;=35, "Emerging Professionals", B90&lt;=50, "Established Adults", TRUE, "Mature Customers")</f>
        <v>Emerging Professionals</v>
      </c>
      <c r="N90" s="11" t="str">
        <f>IF(Dataset[[#This Row],[Total_Spent (€)]]&lt;10,"Low Spender",IF(Dataset[[#This Row],[Total_Spent (€)]]&lt;25,"Medium Spender","High Spender"))</f>
        <v>Low Spender</v>
      </c>
    </row>
    <row r="91" spans="1:14" x14ac:dyDescent="0.2">
      <c r="A91" s="14" t="s">
        <v>725</v>
      </c>
      <c r="B91" s="11">
        <v>36</v>
      </c>
      <c r="C91" s="11" t="s">
        <v>842</v>
      </c>
      <c r="D91" s="11">
        <v>22.26</v>
      </c>
      <c r="E91" s="11" t="s">
        <v>724</v>
      </c>
      <c r="F91" s="11" t="s">
        <v>489</v>
      </c>
      <c r="G91" s="11">
        <v>1</v>
      </c>
      <c r="H91" s="11">
        <v>8.67</v>
      </c>
      <c r="I91" s="11" t="str">
        <f>TEXT(Dataset[[#This Row],[Purchase_Date]],"[$-409]mmmm")</f>
        <v>April</v>
      </c>
      <c r="J91" s="12">
        <f>MONTH(Dataset[[#This Row],[Purchase_Date]])</f>
        <v>4</v>
      </c>
      <c r="K91" s="13" t="str">
        <f>TEXT(Dataset[[#This Row],[Purchase_Date]],"mm - [$-409]mmmm")</f>
        <v>04 - April</v>
      </c>
      <c r="L91" s="11">
        <f>IF(Dataset[[#This Row],[Purchase_Date]]="","",YEAR(Dataset[[#This Row],[Purchase_Date]]))</f>
        <v>2025</v>
      </c>
      <c r="M91" s="11" t="str" cm="1">
        <f t="array" ref="M91">_xlfn.IFS(B91&lt;=25, "Young Adults", B91&lt;=35, "Emerging Professionals", B91&lt;=50, "Established Adults", TRUE, "Mature Customers")</f>
        <v>Established Adults</v>
      </c>
      <c r="N91" s="11" t="str">
        <f>IF(Dataset[[#This Row],[Total_Spent (€)]]&lt;10,"Low Spender",IF(Dataset[[#This Row],[Total_Spent (€)]]&lt;25,"Medium Spender","High Spender"))</f>
        <v>Medium Spender</v>
      </c>
    </row>
    <row r="92" spans="1:14" x14ac:dyDescent="0.2">
      <c r="A92" s="14" t="s">
        <v>723</v>
      </c>
      <c r="B92" s="11">
        <v>40</v>
      </c>
      <c r="C92" s="11" t="s">
        <v>152</v>
      </c>
      <c r="D92" s="11"/>
      <c r="F92" s="11" t="s">
        <v>308</v>
      </c>
      <c r="G92" s="11">
        <v>0</v>
      </c>
      <c r="H92" s="11">
        <v>2.93</v>
      </c>
      <c r="I92" s="11" t="str">
        <f>TEXT(Dataset[[#This Row],[Purchase_Date]],"[$-409]mmmm")</f>
        <v>January</v>
      </c>
      <c r="J92" s="12">
        <f>MONTH(Dataset[[#This Row],[Purchase_Date]])</f>
        <v>1</v>
      </c>
      <c r="K92" s="13" t="str">
        <f>TEXT(Dataset[[#This Row],[Purchase_Date]],"mm - [$-409]mmmm")</f>
        <v>01 - January</v>
      </c>
      <c r="L92" s="11" t="str">
        <f>IF(Dataset[[#This Row],[Purchase_Date]]="","",YEAR(Dataset[[#This Row],[Purchase_Date]]))</f>
        <v/>
      </c>
      <c r="M92" s="11" t="str" cm="1">
        <f t="array" ref="M92">_xlfn.IFS(B92&lt;=25, "Young Adults", B92&lt;=35, "Emerging Professionals", B92&lt;=50, "Established Adults", TRUE, "Mature Customers")</f>
        <v>Established Adults</v>
      </c>
      <c r="N92" s="11" t="str">
        <f>IF(Dataset[[#This Row],[Total_Spent (€)]]&lt;10,"Low Spender",IF(Dataset[[#This Row],[Total_Spent (€)]]&lt;25,"Medium Spender","High Spender"))</f>
        <v>Low Spender</v>
      </c>
    </row>
    <row r="93" spans="1:14" x14ac:dyDescent="0.2">
      <c r="A93" s="14" t="s">
        <v>722</v>
      </c>
      <c r="B93" s="11">
        <v>26</v>
      </c>
      <c r="C93" s="11" t="s">
        <v>840</v>
      </c>
      <c r="D93" s="11">
        <v>15.7</v>
      </c>
      <c r="E93" s="11" t="s">
        <v>612</v>
      </c>
      <c r="F93" s="11" t="s">
        <v>8</v>
      </c>
      <c r="G93" s="11">
        <v>1</v>
      </c>
      <c r="H93" s="11">
        <v>5.54</v>
      </c>
      <c r="I93" s="11" t="str">
        <f>TEXT(Dataset[[#This Row],[Purchase_Date]],"[$-409]mmmm")</f>
        <v>April</v>
      </c>
      <c r="J93" s="12">
        <f>MONTH(Dataset[[#This Row],[Purchase_Date]])</f>
        <v>4</v>
      </c>
      <c r="K93" s="13" t="str">
        <f>TEXT(Dataset[[#This Row],[Purchase_Date]],"mm - [$-409]mmmm")</f>
        <v>04 - April</v>
      </c>
      <c r="L93" s="11">
        <f>IF(Dataset[[#This Row],[Purchase_Date]]="","",YEAR(Dataset[[#This Row],[Purchase_Date]]))</f>
        <v>2025</v>
      </c>
      <c r="M93" s="11" t="str" cm="1">
        <f t="array" ref="M93">_xlfn.IFS(B93&lt;=25, "Young Adults", B93&lt;=35, "Emerging Professionals", B93&lt;=50, "Established Adults", TRUE, "Mature Customers")</f>
        <v>Emerging Professionals</v>
      </c>
      <c r="N93" s="11" t="str">
        <f>IF(Dataset[[#This Row],[Total_Spent (€)]]&lt;10,"Low Spender",IF(Dataset[[#This Row],[Total_Spent (€)]]&lt;25,"Medium Spender","High Spender"))</f>
        <v>Medium Spender</v>
      </c>
    </row>
    <row r="94" spans="1:14" x14ac:dyDescent="0.2">
      <c r="A94" s="14" t="s">
        <v>721</v>
      </c>
      <c r="B94" s="11">
        <v>28</v>
      </c>
      <c r="C94" s="11" t="s">
        <v>17</v>
      </c>
      <c r="D94" s="11">
        <v>24.7</v>
      </c>
      <c r="E94" s="11" t="s">
        <v>640</v>
      </c>
      <c r="F94" s="11" t="s">
        <v>188</v>
      </c>
      <c r="G94" s="11">
        <v>1</v>
      </c>
      <c r="H94" s="11">
        <v>5.8</v>
      </c>
      <c r="I94" s="11" t="str">
        <f>TEXT(Dataset[[#This Row],[Purchase_Date]],"[$-409]mmmm")</f>
        <v>November</v>
      </c>
      <c r="J94" s="12">
        <f>MONTH(Dataset[[#This Row],[Purchase_Date]])</f>
        <v>11</v>
      </c>
      <c r="K94" s="13" t="str">
        <f>TEXT(Dataset[[#This Row],[Purchase_Date]],"mm - [$-409]mmmm")</f>
        <v>11 - November</v>
      </c>
      <c r="L94" s="11">
        <f>IF(Dataset[[#This Row],[Purchase_Date]]="","",YEAR(Dataset[[#This Row],[Purchase_Date]]))</f>
        <v>2024</v>
      </c>
      <c r="M94" s="11" t="str" cm="1">
        <f t="array" ref="M94">_xlfn.IFS(B94&lt;=25, "Young Adults", B94&lt;=35, "Emerging Professionals", B94&lt;=50, "Established Adults", TRUE, "Mature Customers")</f>
        <v>Emerging Professionals</v>
      </c>
      <c r="N94" s="11" t="str">
        <f>IF(Dataset[[#This Row],[Total_Spent (€)]]&lt;10,"Low Spender",IF(Dataset[[#This Row],[Total_Spent (€)]]&lt;25,"Medium Spender","High Spender"))</f>
        <v>Medium Spender</v>
      </c>
    </row>
    <row r="95" spans="1:14" x14ac:dyDescent="0.2">
      <c r="A95" s="14" t="s">
        <v>720</v>
      </c>
      <c r="B95" s="11">
        <v>29</v>
      </c>
      <c r="C95" s="11" t="s">
        <v>61</v>
      </c>
      <c r="D95" s="11">
        <v>16.600000000000001</v>
      </c>
      <c r="E95" s="11" t="s">
        <v>643</v>
      </c>
      <c r="F95" s="11" t="s">
        <v>234</v>
      </c>
      <c r="G95" s="11">
        <v>1</v>
      </c>
      <c r="H95" s="11">
        <v>9.86</v>
      </c>
      <c r="I95" s="11" t="str">
        <f>TEXT(Dataset[[#This Row],[Purchase_Date]],"[$-409]mmmm")</f>
        <v>March</v>
      </c>
      <c r="J95" s="12">
        <f>MONTH(Dataset[[#This Row],[Purchase_Date]])</f>
        <v>3</v>
      </c>
      <c r="K95" s="13" t="str">
        <f>TEXT(Dataset[[#This Row],[Purchase_Date]],"mm - [$-409]mmmm")</f>
        <v>03 - March</v>
      </c>
      <c r="L95" s="11">
        <f>IF(Dataset[[#This Row],[Purchase_Date]]="","",YEAR(Dataset[[#This Row],[Purchase_Date]]))</f>
        <v>2025</v>
      </c>
      <c r="M95" s="11" t="str" cm="1">
        <f t="array" ref="M95">_xlfn.IFS(B95&lt;=25, "Young Adults", B95&lt;=35, "Emerging Professionals", B95&lt;=50, "Established Adults", TRUE, "Mature Customers")</f>
        <v>Emerging Professionals</v>
      </c>
      <c r="N95" s="11" t="str">
        <f>IF(Dataset[[#This Row],[Total_Spent (€)]]&lt;10,"Low Spender",IF(Dataset[[#This Row],[Total_Spent (€)]]&lt;25,"Medium Spender","High Spender"))</f>
        <v>Medium Spender</v>
      </c>
    </row>
    <row r="96" spans="1:14" x14ac:dyDescent="0.2">
      <c r="A96" s="14" t="s">
        <v>719</v>
      </c>
      <c r="B96" s="11">
        <v>22</v>
      </c>
      <c r="C96" s="11" t="s">
        <v>38</v>
      </c>
      <c r="D96" s="11">
        <v>14.99</v>
      </c>
      <c r="E96" s="11" t="s">
        <v>643</v>
      </c>
      <c r="F96" s="11" t="s">
        <v>131</v>
      </c>
      <c r="G96" s="11">
        <v>1</v>
      </c>
      <c r="H96" s="11">
        <v>8.4700000000000006</v>
      </c>
      <c r="I96" s="11" t="str">
        <f>TEXT(Dataset[[#This Row],[Purchase_Date]],"[$-409]mmmm")</f>
        <v>March</v>
      </c>
      <c r="J96" s="12">
        <f>MONTH(Dataset[[#This Row],[Purchase_Date]])</f>
        <v>3</v>
      </c>
      <c r="K96" s="13" t="str">
        <f>TEXT(Dataset[[#This Row],[Purchase_Date]],"mm - [$-409]mmmm")</f>
        <v>03 - March</v>
      </c>
      <c r="L96" s="11">
        <f>IF(Dataset[[#This Row],[Purchase_Date]]="","",YEAR(Dataset[[#This Row],[Purchase_Date]]))</f>
        <v>2025</v>
      </c>
      <c r="M96" s="11" t="str" cm="1">
        <f t="array" ref="M96">_xlfn.IFS(B96&lt;=25, "Young Adults", B96&lt;=35, "Emerging Professionals", B96&lt;=50, "Established Adults", TRUE, "Mature Customers")</f>
        <v>Young Adults</v>
      </c>
      <c r="N96" s="11" t="str">
        <f>IF(Dataset[[#This Row],[Total_Spent (€)]]&lt;10,"Low Spender",IF(Dataset[[#This Row],[Total_Spent (€)]]&lt;25,"Medium Spender","High Spender"))</f>
        <v>Medium Spender</v>
      </c>
    </row>
    <row r="97" spans="1:14" x14ac:dyDescent="0.2">
      <c r="A97" s="14" t="s">
        <v>718</v>
      </c>
      <c r="B97" s="11">
        <v>25</v>
      </c>
      <c r="C97" s="11" t="s">
        <v>844</v>
      </c>
      <c r="D97" s="11">
        <v>11.46</v>
      </c>
      <c r="E97" s="11" t="s">
        <v>118</v>
      </c>
      <c r="F97" s="11" t="s">
        <v>379</v>
      </c>
      <c r="G97" s="11">
        <v>1</v>
      </c>
      <c r="H97" s="11">
        <v>2.5299999999999998</v>
      </c>
      <c r="I97" s="11" t="str">
        <f>TEXT(Dataset[[#This Row],[Purchase_Date]],"[$-409]mmmm")</f>
        <v>November</v>
      </c>
      <c r="J97" s="12">
        <f>MONTH(Dataset[[#This Row],[Purchase_Date]])</f>
        <v>11</v>
      </c>
      <c r="K97" s="13" t="str">
        <f>TEXT(Dataset[[#This Row],[Purchase_Date]],"mm - [$-409]mmmm")</f>
        <v>11 - November</v>
      </c>
      <c r="L97" s="11">
        <f>IF(Dataset[[#This Row],[Purchase_Date]]="","",YEAR(Dataset[[#This Row],[Purchase_Date]]))</f>
        <v>2024</v>
      </c>
      <c r="M97" s="11" t="str" cm="1">
        <f t="array" ref="M97">_xlfn.IFS(B97&lt;=25, "Young Adults", B97&lt;=35, "Emerging Professionals", B97&lt;=50, "Established Adults", TRUE, "Mature Customers")</f>
        <v>Young Adults</v>
      </c>
      <c r="N97" s="11" t="str">
        <f>IF(Dataset[[#This Row],[Total_Spent (€)]]&lt;10,"Low Spender",IF(Dataset[[#This Row],[Total_Spent (€)]]&lt;25,"Medium Spender","High Spender"))</f>
        <v>Medium Spender</v>
      </c>
    </row>
    <row r="98" spans="1:14" x14ac:dyDescent="0.2">
      <c r="A98" s="14" t="s">
        <v>717</v>
      </c>
      <c r="B98" s="11">
        <v>22</v>
      </c>
      <c r="C98" s="11" t="s">
        <v>842</v>
      </c>
      <c r="D98" s="11">
        <v>8.4</v>
      </c>
      <c r="E98" s="11" t="s">
        <v>716</v>
      </c>
      <c r="F98" s="11" t="s">
        <v>250</v>
      </c>
      <c r="G98" s="11">
        <v>1</v>
      </c>
      <c r="H98" s="11">
        <v>2.6</v>
      </c>
      <c r="I98" s="11" t="str">
        <f>TEXT(Dataset[[#This Row],[Purchase_Date]],"[$-409]mmmm")</f>
        <v>January</v>
      </c>
      <c r="J98" s="12">
        <f>MONTH(Dataset[[#This Row],[Purchase_Date]])</f>
        <v>1</v>
      </c>
      <c r="K98" s="13" t="str">
        <f>TEXT(Dataset[[#This Row],[Purchase_Date]],"mm - [$-409]mmmm")</f>
        <v>01 - January</v>
      </c>
      <c r="L98" s="11">
        <f>IF(Dataset[[#This Row],[Purchase_Date]]="","",YEAR(Dataset[[#This Row],[Purchase_Date]]))</f>
        <v>2025</v>
      </c>
      <c r="M98" s="11" t="str" cm="1">
        <f t="array" ref="M98">_xlfn.IFS(B98&lt;=25, "Young Adults", B98&lt;=35, "Emerging Professionals", B98&lt;=50, "Established Adults", TRUE, "Mature Customers")</f>
        <v>Young Adults</v>
      </c>
      <c r="N98" s="11" t="str">
        <f>IF(Dataset[[#This Row],[Total_Spent (€)]]&lt;10,"Low Spender",IF(Dataset[[#This Row],[Total_Spent (€)]]&lt;25,"Medium Spender","High Spender"))</f>
        <v>Low Spender</v>
      </c>
    </row>
    <row r="99" spans="1:14" x14ac:dyDescent="0.2">
      <c r="A99" s="14" t="s">
        <v>715</v>
      </c>
      <c r="B99" s="11">
        <v>48</v>
      </c>
      <c r="C99" s="11" t="s">
        <v>846</v>
      </c>
      <c r="D99" s="11"/>
      <c r="F99" s="11" t="s">
        <v>714</v>
      </c>
      <c r="G99" s="11">
        <v>0</v>
      </c>
      <c r="H99" s="11">
        <v>5.88</v>
      </c>
      <c r="I99" s="11" t="str">
        <f>TEXT(Dataset[[#This Row],[Purchase_Date]],"[$-409]mmmm")</f>
        <v>January</v>
      </c>
      <c r="J99" s="12">
        <f>MONTH(Dataset[[#This Row],[Purchase_Date]])</f>
        <v>1</v>
      </c>
      <c r="K99" s="13" t="str">
        <f>TEXT(Dataset[[#This Row],[Purchase_Date]],"mm - [$-409]mmmm")</f>
        <v>01 - January</v>
      </c>
      <c r="L99" s="11" t="str">
        <f>IF(Dataset[[#This Row],[Purchase_Date]]="","",YEAR(Dataset[[#This Row],[Purchase_Date]]))</f>
        <v/>
      </c>
      <c r="M99" s="11" t="str" cm="1">
        <f t="array" ref="M99">_xlfn.IFS(B99&lt;=25, "Young Adults", B99&lt;=35, "Emerging Professionals", B99&lt;=50, "Established Adults", TRUE, "Mature Customers")</f>
        <v>Established Adults</v>
      </c>
      <c r="N99" s="11" t="str">
        <f>IF(Dataset[[#This Row],[Total_Spent (€)]]&lt;10,"Low Spender",IF(Dataset[[#This Row],[Total_Spent (€)]]&lt;25,"Medium Spender","High Spender"))</f>
        <v>Low Spender</v>
      </c>
    </row>
    <row r="100" spans="1:14" x14ac:dyDescent="0.2">
      <c r="A100" s="14" t="s">
        <v>713</v>
      </c>
      <c r="B100" s="11">
        <v>28</v>
      </c>
      <c r="C100" s="11" t="s">
        <v>842</v>
      </c>
      <c r="D100" s="11"/>
      <c r="F100" s="11" t="s">
        <v>507</v>
      </c>
      <c r="G100" s="11">
        <v>0</v>
      </c>
      <c r="H100" s="11">
        <v>9.23</v>
      </c>
      <c r="I100" s="11" t="str">
        <f>TEXT(Dataset[[#This Row],[Purchase_Date]],"[$-409]mmmm")</f>
        <v>January</v>
      </c>
      <c r="J100" s="12">
        <f>MONTH(Dataset[[#This Row],[Purchase_Date]])</f>
        <v>1</v>
      </c>
      <c r="K100" s="13" t="str">
        <f>TEXT(Dataset[[#This Row],[Purchase_Date]],"mm - [$-409]mmmm")</f>
        <v>01 - January</v>
      </c>
      <c r="L100" s="11" t="str">
        <f>IF(Dataset[[#This Row],[Purchase_Date]]="","",YEAR(Dataset[[#This Row],[Purchase_Date]]))</f>
        <v/>
      </c>
      <c r="M100" s="11" t="str" cm="1">
        <f t="array" ref="M100">_xlfn.IFS(B100&lt;=25, "Young Adults", B100&lt;=35, "Emerging Professionals", B100&lt;=50, "Established Adults", TRUE, "Mature Customers")</f>
        <v>Emerging Professionals</v>
      </c>
      <c r="N100" s="11" t="str">
        <f>IF(Dataset[[#This Row],[Total_Spent (€)]]&lt;10,"Low Spender",IF(Dataset[[#This Row],[Total_Spent (€)]]&lt;25,"Medium Spender","High Spender"))</f>
        <v>Low Spender</v>
      </c>
    </row>
    <row r="101" spans="1:14" x14ac:dyDescent="0.2">
      <c r="A101" s="14" t="s">
        <v>712</v>
      </c>
      <c r="B101" s="11">
        <v>26</v>
      </c>
      <c r="C101" s="11" t="s">
        <v>847</v>
      </c>
      <c r="D101" s="11"/>
      <c r="F101" s="11" t="s">
        <v>711</v>
      </c>
      <c r="G101" s="11">
        <v>0</v>
      </c>
      <c r="H101" s="11">
        <v>6.94</v>
      </c>
      <c r="I101" s="11" t="str">
        <f>TEXT(Dataset[[#This Row],[Purchase_Date]],"[$-409]mmmm")</f>
        <v>January</v>
      </c>
      <c r="J101" s="12">
        <f>MONTH(Dataset[[#This Row],[Purchase_Date]])</f>
        <v>1</v>
      </c>
      <c r="K101" s="13" t="str">
        <f>TEXT(Dataset[[#This Row],[Purchase_Date]],"mm - [$-409]mmmm")</f>
        <v>01 - January</v>
      </c>
      <c r="L101" s="11" t="str">
        <f>IF(Dataset[[#This Row],[Purchase_Date]]="","",YEAR(Dataset[[#This Row],[Purchase_Date]]))</f>
        <v/>
      </c>
      <c r="M101" s="11" t="str" cm="1">
        <f t="array" ref="M101">_xlfn.IFS(B101&lt;=25, "Young Adults", B101&lt;=35, "Emerging Professionals", B101&lt;=50, "Established Adults", TRUE, "Mature Customers")</f>
        <v>Emerging Professionals</v>
      </c>
      <c r="N101" s="11" t="str">
        <f>IF(Dataset[[#This Row],[Total_Spent (€)]]&lt;10,"Low Spender",IF(Dataset[[#This Row],[Total_Spent (€)]]&lt;25,"Medium Spender","High Spender"))</f>
        <v>Low Spender</v>
      </c>
    </row>
    <row r="102" spans="1:14" x14ac:dyDescent="0.2">
      <c r="A102" s="14" t="s">
        <v>710</v>
      </c>
      <c r="B102" s="11">
        <v>18</v>
      </c>
      <c r="C102" s="11" t="s">
        <v>38</v>
      </c>
      <c r="D102" s="11">
        <v>17.649999999999999</v>
      </c>
      <c r="E102" s="11" t="s">
        <v>183</v>
      </c>
      <c r="F102" s="11" t="s">
        <v>571</v>
      </c>
      <c r="G102" s="11">
        <v>1</v>
      </c>
      <c r="H102" s="11">
        <v>3.61</v>
      </c>
      <c r="I102" s="11" t="str">
        <f>TEXT(Dataset[[#This Row],[Purchase_Date]],"[$-409]mmmm")</f>
        <v>April</v>
      </c>
      <c r="J102" s="12">
        <f>MONTH(Dataset[[#This Row],[Purchase_Date]])</f>
        <v>4</v>
      </c>
      <c r="K102" s="13" t="str">
        <f>TEXT(Dataset[[#This Row],[Purchase_Date]],"mm - [$-409]mmmm")</f>
        <v>04 - April</v>
      </c>
      <c r="L102" s="11">
        <f>IF(Dataset[[#This Row],[Purchase_Date]]="","",YEAR(Dataset[[#This Row],[Purchase_Date]]))</f>
        <v>2025</v>
      </c>
      <c r="M102" s="11" t="str" cm="1">
        <f t="array" ref="M102">_xlfn.IFS(B102&lt;=25, "Young Adults", B102&lt;=35, "Emerging Professionals", B102&lt;=50, "Established Adults", TRUE, "Mature Customers")</f>
        <v>Young Adults</v>
      </c>
      <c r="N102" s="11" t="str">
        <f>IF(Dataset[[#This Row],[Total_Spent (€)]]&lt;10,"Low Spender",IF(Dataset[[#This Row],[Total_Spent (€)]]&lt;25,"Medium Spender","High Spender"))</f>
        <v>Medium Spender</v>
      </c>
    </row>
    <row r="103" spans="1:14" x14ac:dyDescent="0.2">
      <c r="A103" s="14" t="s">
        <v>709</v>
      </c>
      <c r="B103" s="11">
        <v>43</v>
      </c>
      <c r="C103" s="11" t="s">
        <v>5</v>
      </c>
      <c r="D103" s="11"/>
      <c r="F103" s="11" t="s">
        <v>500</v>
      </c>
      <c r="G103" s="11">
        <v>0</v>
      </c>
      <c r="H103" s="11">
        <v>6.62</v>
      </c>
      <c r="I103" s="11" t="str">
        <f>TEXT(Dataset[[#This Row],[Purchase_Date]],"[$-409]mmmm")</f>
        <v>January</v>
      </c>
      <c r="J103" s="12">
        <f>MONTH(Dataset[[#This Row],[Purchase_Date]])</f>
        <v>1</v>
      </c>
      <c r="K103" s="13" t="str">
        <f>TEXT(Dataset[[#This Row],[Purchase_Date]],"mm - [$-409]mmmm")</f>
        <v>01 - January</v>
      </c>
      <c r="L103" s="11" t="str">
        <f>IF(Dataset[[#This Row],[Purchase_Date]]="","",YEAR(Dataset[[#This Row],[Purchase_Date]]))</f>
        <v/>
      </c>
      <c r="M103" s="11" t="str" cm="1">
        <f t="array" ref="M103">_xlfn.IFS(B103&lt;=25, "Young Adults", B103&lt;=35, "Emerging Professionals", B103&lt;=50, "Established Adults", TRUE, "Mature Customers")</f>
        <v>Established Adults</v>
      </c>
      <c r="N103" s="11" t="str">
        <f>IF(Dataset[[#This Row],[Total_Spent (€)]]&lt;10,"Low Spender",IF(Dataset[[#This Row],[Total_Spent (€)]]&lt;25,"Medium Spender","High Spender"))</f>
        <v>Low Spender</v>
      </c>
    </row>
    <row r="104" spans="1:14" x14ac:dyDescent="0.2">
      <c r="A104" s="14" t="s">
        <v>708</v>
      </c>
      <c r="B104" s="11">
        <v>50</v>
      </c>
      <c r="C104" s="11" t="s">
        <v>17</v>
      </c>
      <c r="D104" s="11">
        <v>12.27</v>
      </c>
      <c r="E104" s="11" t="s">
        <v>200</v>
      </c>
      <c r="F104" s="11" t="s">
        <v>180</v>
      </c>
      <c r="G104" s="11">
        <v>1</v>
      </c>
      <c r="H104" s="11">
        <v>5.79</v>
      </c>
      <c r="I104" s="11" t="str">
        <f>TEXT(Dataset[[#This Row],[Purchase_Date]],"[$-409]mmmm")</f>
        <v>August</v>
      </c>
      <c r="J104" s="12">
        <f>MONTH(Dataset[[#This Row],[Purchase_Date]])</f>
        <v>8</v>
      </c>
      <c r="K104" s="13" t="str">
        <f>TEXT(Dataset[[#This Row],[Purchase_Date]],"mm - [$-409]mmmm")</f>
        <v>08 - August</v>
      </c>
      <c r="L104" s="11">
        <f>IF(Dataset[[#This Row],[Purchase_Date]]="","",YEAR(Dataset[[#This Row],[Purchase_Date]]))</f>
        <v>2024</v>
      </c>
      <c r="M104" s="11" t="str" cm="1">
        <f t="array" ref="M104">_xlfn.IFS(B104&lt;=25, "Young Adults", B104&lt;=35, "Emerging Professionals", B104&lt;=50, "Established Adults", TRUE, "Mature Customers")</f>
        <v>Established Adults</v>
      </c>
      <c r="N104" s="11" t="str">
        <f>IF(Dataset[[#This Row],[Total_Spent (€)]]&lt;10,"Low Spender",IF(Dataset[[#This Row],[Total_Spent (€)]]&lt;25,"Medium Spender","High Spender"))</f>
        <v>Medium Spender</v>
      </c>
    </row>
    <row r="105" spans="1:14" x14ac:dyDescent="0.2">
      <c r="A105" s="14" t="s">
        <v>707</v>
      </c>
      <c r="B105" s="11">
        <v>45</v>
      </c>
      <c r="C105" s="11" t="s">
        <v>38</v>
      </c>
      <c r="D105" s="11">
        <v>14.26</v>
      </c>
      <c r="E105" s="11" t="s">
        <v>706</v>
      </c>
      <c r="F105" s="11" t="s">
        <v>314</v>
      </c>
      <c r="G105" s="11">
        <v>1</v>
      </c>
      <c r="H105" s="11">
        <v>4.18</v>
      </c>
      <c r="I105" s="11" t="str">
        <f>TEXT(Dataset[[#This Row],[Purchase_Date]],"[$-409]mmmm")</f>
        <v>April</v>
      </c>
      <c r="J105" s="12">
        <f>MONTH(Dataset[[#This Row],[Purchase_Date]])</f>
        <v>4</v>
      </c>
      <c r="K105" s="13" t="str">
        <f>TEXT(Dataset[[#This Row],[Purchase_Date]],"mm - [$-409]mmmm")</f>
        <v>04 - April</v>
      </c>
      <c r="L105" s="11">
        <f>IF(Dataset[[#This Row],[Purchase_Date]]="","",YEAR(Dataset[[#This Row],[Purchase_Date]]))</f>
        <v>2025</v>
      </c>
      <c r="M105" s="11" t="str" cm="1">
        <f t="array" ref="M105">_xlfn.IFS(B105&lt;=25, "Young Adults", B105&lt;=35, "Emerging Professionals", B105&lt;=50, "Established Adults", TRUE, "Mature Customers")</f>
        <v>Established Adults</v>
      </c>
      <c r="N105" s="11" t="str">
        <f>IF(Dataset[[#This Row],[Total_Spent (€)]]&lt;10,"Low Spender",IF(Dataset[[#This Row],[Total_Spent (€)]]&lt;25,"Medium Spender","High Spender"))</f>
        <v>Medium Spender</v>
      </c>
    </row>
    <row r="106" spans="1:14" x14ac:dyDescent="0.2">
      <c r="A106" s="14" t="s">
        <v>705</v>
      </c>
      <c r="B106" s="11">
        <v>23</v>
      </c>
      <c r="C106" s="11" t="s">
        <v>30</v>
      </c>
      <c r="D106" s="11"/>
      <c r="F106" s="11" t="s">
        <v>3</v>
      </c>
      <c r="G106" s="11">
        <v>0</v>
      </c>
      <c r="H106" s="11">
        <v>3.63</v>
      </c>
      <c r="I106" s="11" t="str">
        <f>TEXT(Dataset[[#This Row],[Purchase_Date]],"[$-409]mmmm")</f>
        <v>January</v>
      </c>
      <c r="J106" s="12">
        <f>MONTH(Dataset[[#This Row],[Purchase_Date]])</f>
        <v>1</v>
      </c>
      <c r="K106" s="13" t="str">
        <f>TEXT(Dataset[[#This Row],[Purchase_Date]],"mm - [$-409]mmmm")</f>
        <v>01 - January</v>
      </c>
      <c r="L106" s="11" t="str">
        <f>IF(Dataset[[#This Row],[Purchase_Date]]="","",YEAR(Dataset[[#This Row],[Purchase_Date]]))</f>
        <v/>
      </c>
      <c r="M106" s="11" t="str" cm="1">
        <f t="array" ref="M106">_xlfn.IFS(B106&lt;=25, "Young Adults", B106&lt;=35, "Emerging Professionals", B106&lt;=50, "Established Adults", TRUE, "Mature Customers")</f>
        <v>Young Adults</v>
      </c>
      <c r="N106" s="11" t="str">
        <f>IF(Dataset[[#This Row],[Total_Spent (€)]]&lt;10,"Low Spender",IF(Dataset[[#This Row],[Total_Spent (€)]]&lt;25,"Medium Spender","High Spender"))</f>
        <v>Low Spender</v>
      </c>
    </row>
    <row r="107" spans="1:14" x14ac:dyDescent="0.2">
      <c r="A107" s="14" t="s">
        <v>704</v>
      </c>
      <c r="B107" s="11">
        <v>44</v>
      </c>
      <c r="C107" s="11" t="s">
        <v>9</v>
      </c>
      <c r="D107" s="11"/>
      <c r="F107" s="11" t="s">
        <v>703</v>
      </c>
      <c r="G107" s="11">
        <v>0</v>
      </c>
      <c r="H107" s="11">
        <v>2.72</v>
      </c>
      <c r="I107" s="11" t="str">
        <f>TEXT(Dataset[[#This Row],[Purchase_Date]],"[$-409]mmmm")</f>
        <v>January</v>
      </c>
      <c r="J107" s="12">
        <f>MONTH(Dataset[[#This Row],[Purchase_Date]])</f>
        <v>1</v>
      </c>
      <c r="K107" s="13" t="str">
        <f>TEXT(Dataset[[#This Row],[Purchase_Date]],"mm - [$-409]mmmm")</f>
        <v>01 - January</v>
      </c>
      <c r="L107" s="11" t="str">
        <f>IF(Dataset[[#This Row],[Purchase_Date]]="","",YEAR(Dataset[[#This Row],[Purchase_Date]]))</f>
        <v/>
      </c>
      <c r="M107" s="11" t="str" cm="1">
        <f t="array" ref="M107">_xlfn.IFS(B107&lt;=25, "Young Adults", B107&lt;=35, "Emerging Professionals", B107&lt;=50, "Established Adults", TRUE, "Mature Customers")</f>
        <v>Established Adults</v>
      </c>
      <c r="N107" s="11" t="str">
        <f>IF(Dataset[[#This Row],[Total_Spent (€)]]&lt;10,"Low Spender",IF(Dataset[[#This Row],[Total_Spent (€)]]&lt;25,"Medium Spender","High Spender"))</f>
        <v>Low Spender</v>
      </c>
    </row>
    <row r="108" spans="1:14" x14ac:dyDescent="0.2">
      <c r="A108" s="14" t="s">
        <v>702</v>
      </c>
      <c r="B108" s="11">
        <v>24</v>
      </c>
      <c r="C108" s="11" t="s">
        <v>75</v>
      </c>
      <c r="D108" s="11">
        <v>13.72</v>
      </c>
      <c r="E108" s="11" t="s">
        <v>701</v>
      </c>
      <c r="F108" s="11" t="s">
        <v>435</v>
      </c>
      <c r="G108" s="11">
        <v>1</v>
      </c>
      <c r="H108" s="11">
        <v>3.66</v>
      </c>
      <c r="I108" s="11" t="str">
        <f>TEXT(Dataset[[#This Row],[Purchase_Date]],"[$-409]mmmm")</f>
        <v>February</v>
      </c>
      <c r="J108" s="12">
        <f>MONTH(Dataset[[#This Row],[Purchase_Date]])</f>
        <v>2</v>
      </c>
      <c r="K108" s="13" t="str">
        <f>TEXT(Dataset[[#This Row],[Purchase_Date]],"mm - [$-409]mmmm")</f>
        <v>02 - February</v>
      </c>
      <c r="L108" s="11">
        <f>IF(Dataset[[#This Row],[Purchase_Date]]="","",YEAR(Dataset[[#This Row],[Purchase_Date]]))</f>
        <v>2025</v>
      </c>
      <c r="M108" s="11" t="str" cm="1">
        <f t="array" ref="M108">_xlfn.IFS(B108&lt;=25, "Young Adults", B108&lt;=35, "Emerging Professionals", B108&lt;=50, "Established Adults", TRUE, "Mature Customers")</f>
        <v>Young Adults</v>
      </c>
      <c r="N108" s="11" t="str">
        <f>IF(Dataset[[#This Row],[Total_Spent (€)]]&lt;10,"Low Spender",IF(Dataset[[#This Row],[Total_Spent (€)]]&lt;25,"Medium Spender","High Spender"))</f>
        <v>Medium Spender</v>
      </c>
    </row>
    <row r="109" spans="1:14" x14ac:dyDescent="0.2">
      <c r="A109" s="14" t="s">
        <v>700</v>
      </c>
      <c r="B109" s="11">
        <v>29</v>
      </c>
      <c r="C109" s="11" t="s">
        <v>843</v>
      </c>
      <c r="D109" s="11">
        <v>20.58</v>
      </c>
      <c r="E109" s="11" t="s">
        <v>40</v>
      </c>
      <c r="F109" s="11" t="s">
        <v>200</v>
      </c>
      <c r="G109" s="11">
        <v>1</v>
      </c>
      <c r="H109" s="11">
        <v>7.7</v>
      </c>
      <c r="I109" s="11" t="str">
        <f>TEXT(Dataset[[#This Row],[Purchase_Date]],"[$-409]mmmm")</f>
        <v>September</v>
      </c>
      <c r="J109" s="12">
        <f>MONTH(Dataset[[#This Row],[Purchase_Date]])</f>
        <v>9</v>
      </c>
      <c r="K109" s="13" t="str">
        <f>TEXT(Dataset[[#This Row],[Purchase_Date]],"mm - [$-409]mmmm")</f>
        <v>09 - September</v>
      </c>
      <c r="L109" s="11">
        <f>IF(Dataset[[#This Row],[Purchase_Date]]="","",YEAR(Dataset[[#This Row],[Purchase_Date]]))</f>
        <v>2024</v>
      </c>
      <c r="M109" s="11" t="str" cm="1">
        <f t="array" ref="M109">_xlfn.IFS(B109&lt;=25, "Young Adults", B109&lt;=35, "Emerging Professionals", B109&lt;=50, "Established Adults", TRUE, "Mature Customers")</f>
        <v>Emerging Professionals</v>
      </c>
      <c r="N109" s="11" t="str">
        <f>IF(Dataset[[#This Row],[Total_Spent (€)]]&lt;10,"Low Spender",IF(Dataset[[#This Row],[Total_Spent (€)]]&lt;25,"Medium Spender","High Spender"))</f>
        <v>Medium Spender</v>
      </c>
    </row>
    <row r="110" spans="1:14" x14ac:dyDescent="0.2">
      <c r="A110" s="14" t="s">
        <v>699</v>
      </c>
      <c r="B110" s="11">
        <v>39</v>
      </c>
      <c r="C110" s="11" t="s">
        <v>43</v>
      </c>
      <c r="D110" s="11"/>
      <c r="F110" s="11" t="s">
        <v>393</v>
      </c>
      <c r="G110" s="11">
        <v>0</v>
      </c>
      <c r="H110" s="11">
        <v>3.47</v>
      </c>
      <c r="I110" s="11" t="str">
        <f>TEXT(Dataset[[#This Row],[Purchase_Date]],"[$-409]mmmm")</f>
        <v>January</v>
      </c>
      <c r="J110" s="12">
        <f>MONTH(Dataset[[#This Row],[Purchase_Date]])</f>
        <v>1</v>
      </c>
      <c r="K110" s="13" t="str">
        <f>TEXT(Dataset[[#This Row],[Purchase_Date]],"mm - [$-409]mmmm")</f>
        <v>01 - January</v>
      </c>
      <c r="L110" s="11" t="str">
        <f>IF(Dataset[[#This Row],[Purchase_Date]]="","",YEAR(Dataset[[#This Row],[Purchase_Date]]))</f>
        <v/>
      </c>
      <c r="M110" s="11" t="str" cm="1">
        <f t="array" ref="M110">_xlfn.IFS(B110&lt;=25, "Young Adults", B110&lt;=35, "Emerging Professionals", B110&lt;=50, "Established Adults", TRUE, "Mature Customers")</f>
        <v>Established Adults</v>
      </c>
      <c r="N110" s="11" t="str">
        <f>IF(Dataset[[#This Row],[Total_Spent (€)]]&lt;10,"Low Spender",IF(Dataset[[#This Row],[Total_Spent (€)]]&lt;25,"Medium Spender","High Spender"))</f>
        <v>Low Spender</v>
      </c>
    </row>
    <row r="111" spans="1:14" x14ac:dyDescent="0.2">
      <c r="A111" s="14" t="s">
        <v>698</v>
      </c>
      <c r="B111" s="11">
        <v>34</v>
      </c>
      <c r="C111" s="11" t="s">
        <v>13</v>
      </c>
      <c r="D111" s="11"/>
      <c r="F111" s="11" t="s">
        <v>697</v>
      </c>
      <c r="G111" s="11">
        <v>0</v>
      </c>
      <c r="H111" s="11">
        <v>8.3800000000000008</v>
      </c>
      <c r="I111" s="11" t="str">
        <f>TEXT(Dataset[[#This Row],[Purchase_Date]],"[$-409]mmmm")</f>
        <v>January</v>
      </c>
      <c r="J111" s="12">
        <f>MONTH(Dataset[[#This Row],[Purchase_Date]])</f>
        <v>1</v>
      </c>
      <c r="K111" s="13" t="str">
        <f>TEXT(Dataset[[#This Row],[Purchase_Date]],"mm - [$-409]mmmm")</f>
        <v>01 - January</v>
      </c>
      <c r="L111" s="11" t="str">
        <f>IF(Dataset[[#This Row],[Purchase_Date]]="","",YEAR(Dataset[[#This Row],[Purchase_Date]]))</f>
        <v/>
      </c>
      <c r="M111" s="11" t="str" cm="1">
        <f t="array" ref="M111">_xlfn.IFS(B111&lt;=25, "Young Adults", B111&lt;=35, "Emerging Professionals", B111&lt;=50, "Established Adults", TRUE, "Mature Customers")</f>
        <v>Emerging Professionals</v>
      </c>
      <c r="N111" s="11" t="str">
        <f>IF(Dataset[[#This Row],[Total_Spent (€)]]&lt;10,"Low Spender",IF(Dataset[[#This Row],[Total_Spent (€)]]&lt;25,"Medium Spender","High Spender"))</f>
        <v>Low Spender</v>
      </c>
    </row>
    <row r="112" spans="1:14" x14ac:dyDescent="0.2">
      <c r="A112" s="14" t="s">
        <v>696</v>
      </c>
      <c r="B112" s="11">
        <v>32</v>
      </c>
      <c r="C112" s="11" t="s">
        <v>844</v>
      </c>
      <c r="D112" s="11"/>
      <c r="F112" s="11" t="s">
        <v>672</v>
      </c>
      <c r="G112" s="11">
        <v>0</v>
      </c>
      <c r="H112" s="11">
        <v>3.37</v>
      </c>
      <c r="I112" s="11" t="str">
        <f>TEXT(Dataset[[#This Row],[Purchase_Date]],"[$-409]mmmm")</f>
        <v>January</v>
      </c>
      <c r="J112" s="12">
        <f>MONTH(Dataset[[#This Row],[Purchase_Date]])</f>
        <v>1</v>
      </c>
      <c r="K112" s="13" t="str">
        <f>TEXT(Dataset[[#This Row],[Purchase_Date]],"mm - [$-409]mmmm")</f>
        <v>01 - January</v>
      </c>
      <c r="L112" s="11" t="str">
        <f>IF(Dataset[[#This Row],[Purchase_Date]]="","",YEAR(Dataset[[#This Row],[Purchase_Date]]))</f>
        <v/>
      </c>
      <c r="M112" s="11" t="str" cm="1">
        <f t="array" ref="M112">_xlfn.IFS(B112&lt;=25, "Young Adults", B112&lt;=35, "Emerging Professionals", B112&lt;=50, "Established Adults", TRUE, "Mature Customers")</f>
        <v>Emerging Professionals</v>
      </c>
      <c r="N112" s="11" t="str">
        <f>IF(Dataset[[#This Row],[Total_Spent (€)]]&lt;10,"Low Spender",IF(Dataset[[#This Row],[Total_Spent (€)]]&lt;25,"Medium Spender","High Spender"))</f>
        <v>Low Spender</v>
      </c>
    </row>
    <row r="113" spans="1:14" x14ac:dyDescent="0.2">
      <c r="A113" s="14" t="s">
        <v>695</v>
      </c>
      <c r="B113" s="11">
        <v>21</v>
      </c>
      <c r="C113" s="11" t="s">
        <v>5</v>
      </c>
      <c r="D113" s="11"/>
      <c r="F113" s="11" t="s">
        <v>254</v>
      </c>
      <c r="G113" s="11">
        <v>0</v>
      </c>
      <c r="H113" s="11">
        <v>2.4500000000000002</v>
      </c>
      <c r="I113" s="11" t="str">
        <f>TEXT(Dataset[[#This Row],[Purchase_Date]],"[$-409]mmmm")</f>
        <v>January</v>
      </c>
      <c r="J113" s="12">
        <f>MONTH(Dataset[[#This Row],[Purchase_Date]])</f>
        <v>1</v>
      </c>
      <c r="K113" s="13" t="str">
        <f>TEXT(Dataset[[#This Row],[Purchase_Date]],"mm - [$-409]mmmm")</f>
        <v>01 - January</v>
      </c>
      <c r="L113" s="11" t="str">
        <f>IF(Dataset[[#This Row],[Purchase_Date]]="","",YEAR(Dataset[[#This Row],[Purchase_Date]]))</f>
        <v/>
      </c>
      <c r="M113" s="11" t="str" cm="1">
        <f t="array" ref="M113">_xlfn.IFS(B113&lt;=25, "Young Adults", B113&lt;=35, "Emerging Professionals", B113&lt;=50, "Established Adults", TRUE, "Mature Customers")</f>
        <v>Young Adults</v>
      </c>
      <c r="N113" s="11" t="str">
        <f>IF(Dataset[[#This Row],[Total_Spent (€)]]&lt;10,"Low Spender",IF(Dataset[[#This Row],[Total_Spent (€)]]&lt;25,"Medium Spender","High Spender"))</f>
        <v>Low Spender</v>
      </c>
    </row>
    <row r="114" spans="1:14" x14ac:dyDescent="0.2">
      <c r="A114" s="14" t="s">
        <v>694</v>
      </c>
      <c r="B114" s="11">
        <v>46</v>
      </c>
      <c r="C114" s="11" t="s">
        <v>152</v>
      </c>
      <c r="D114" s="11">
        <v>29.84</v>
      </c>
      <c r="E114" s="11" t="s">
        <v>176</v>
      </c>
      <c r="F114" s="11" t="s">
        <v>77</v>
      </c>
      <c r="G114" s="11">
        <v>1</v>
      </c>
      <c r="H114" s="11">
        <v>3.46</v>
      </c>
      <c r="I114" s="11" t="str">
        <f>TEXT(Dataset[[#This Row],[Purchase_Date]],"[$-409]mmmm")</f>
        <v>October</v>
      </c>
      <c r="J114" s="12">
        <f>MONTH(Dataset[[#This Row],[Purchase_Date]])</f>
        <v>10</v>
      </c>
      <c r="K114" s="13" t="str">
        <f>TEXT(Dataset[[#This Row],[Purchase_Date]],"mm - [$-409]mmmm")</f>
        <v>10 - October</v>
      </c>
      <c r="L114" s="11">
        <f>IF(Dataset[[#This Row],[Purchase_Date]]="","",YEAR(Dataset[[#This Row],[Purchase_Date]]))</f>
        <v>2024</v>
      </c>
      <c r="M114" s="11" t="str" cm="1">
        <f t="array" ref="M114">_xlfn.IFS(B114&lt;=25, "Young Adults", B114&lt;=35, "Emerging Professionals", B114&lt;=50, "Established Adults", TRUE, "Mature Customers")</f>
        <v>Established Adults</v>
      </c>
      <c r="N114" s="11" t="str">
        <f>IF(Dataset[[#This Row],[Total_Spent (€)]]&lt;10,"Low Spender",IF(Dataset[[#This Row],[Total_Spent (€)]]&lt;25,"Medium Spender","High Spender"))</f>
        <v>High Spender</v>
      </c>
    </row>
    <row r="115" spans="1:14" x14ac:dyDescent="0.2">
      <c r="A115" s="14" t="s">
        <v>693</v>
      </c>
      <c r="B115" s="11">
        <v>31</v>
      </c>
      <c r="C115" s="11" t="s">
        <v>841</v>
      </c>
      <c r="D115" s="11">
        <v>21.74</v>
      </c>
      <c r="E115" s="11" t="s">
        <v>45</v>
      </c>
      <c r="F115" s="11" t="s">
        <v>444</v>
      </c>
      <c r="G115" s="11">
        <v>1</v>
      </c>
      <c r="H115" s="11">
        <v>9.93</v>
      </c>
      <c r="I115" s="11" t="str">
        <f>TEXT(Dataset[[#This Row],[Purchase_Date]],"[$-409]mmmm")</f>
        <v>October</v>
      </c>
      <c r="J115" s="12">
        <f>MONTH(Dataset[[#This Row],[Purchase_Date]])</f>
        <v>10</v>
      </c>
      <c r="K115" s="13" t="str">
        <f>TEXT(Dataset[[#This Row],[Purchase_Date]],"mm - [$-409]mmmm")</f>
        <v>10 - October</v>
      </c>
      <c r="L115" s="11">
        <f>IF(Dataset[[#This Row],[Purchase_Date]]="","",YEAR(Dataset[[#This Row],[Purchase_Date]]))</f>
        <v>2024</v>
      </c>
      <c r="M115" s="11" t="str" cm="1">
        <f t="array" ref="M115">_xlfn.IFS(B115&lt;=25, "Young Adults", B115&lt;=35, "Emerging Professionals", B115&lt;=50, "Established Adults", TRUE, "Mature Customers")</f>
        <v>Emerging Professionals</v>
      </c>
      <c r="N115" s="11" t="str">
        <f>IF(Dataset[[#This Row],[Total_Spent (€)]]&lt;10,"Low Spender",IF(Dataset[[#This Row],[Total_Spent (€)]]&lt;25,"Medium Spender","High Spender"))</f>
        <v>Medium Spender</v>
      </c>
    </row>
    <row r="116" spans="1:14" x14ac:dyDescent="0.2">
      <c r="A116" s="14" t="s">
        <v>692</v>
      </c>
      <c r="B116" s="11">
        <v>41</v>
      </c>
      <c r="C116" s="11" t="s">
        <v>846</v>
      </c>
      <c r="D116" s="11">
        <v>36.42</v>
      </c>
      <c r="E116" s="11" t="s">
        <v>509</v>
      </c>
      <c r="F116" s="11" t="s">
        <v>691</v>
      </c>
      <c r="G116" s="11">
        <v>1</v>
      </c>
      <c r="H116" s="11">
        <v>4.57</v>
      </c>
      <c r="I116" s="11" t="str">
        <f>TEXT(Dataset[[#This Row],[Purchase_Date]],"[$-409]mmmm")</f>
        <v>June</v>
      </c>
      <c r="J116" s="12">
        <f>MONTH(Dataset[[#This Row],[Purchase_Date]])</f>
        <v>6</v>
      </c>
      <c r="K116" s="13" t="str">
        <f>TEXT(Dataset[[#This Row],[Purchase_Date]],"mm - [$-409]mmmm")</f>
        <v>06 - June</v>
      </c>
      <c r="L116" s="11">
        <f>IF(Dataset[[#This Row],[Purchase_Date]]="","",YEAR(Dataset[[#This Row],[Purchase_Date]]))</f>
        <v>2024</v>
      </c>
      <c r="M116" s="11" t="str" cm="1">
        <f t="array" ref="M116">_xlfn.IFS(B116&lt;=25, "Young Adults", B116&lt;=35, "Emerging Professionals", B116&lt;=50, "Established Adults", TRUE, "Mature Customers")</f>
        <v>Established Adults</v>
      </c>
      <c r="N116" s="11" t="str">
        <f>IF(Dataset[[#This Row],[Total_Spent (€)]]&lt;10,"Low Spender",IF(Dataset[[#This Row],[Total_Spent (€)]]&lt;25,"Medium Spender","High Spender"))</f>
        <v>High Spender</v>
      </c>
    </row>
    <row r="117" spans="1:14" x14ac:dyDescent="0.2">
      <c r="A117" s="14" t="s">
        <v>690</v>
      </c>
      <c r="B117" s="11">
        <v>48</v>
      </c>
      <c r="C117" s="11" t="s">
        <v>152</v>
      </c>
      <c r="D117" s="11">
        <v>34.770000000000003</v>
      </c>
      <c r="E117" s="11" t="s">
        <v>328</v>
      </c>
      <c r="F117" s="11" t="s">
        <v>662</v>
      </c>
      <c r="G117" s="11">
        <v>1</v>
      </c>
      <c r="H117" s="11">
        <v>5.24</v>
      </c>
      <c r="I117" s="11" t="str">
        <f>TEXT(Dataset[[#This Row],[Purchase_Date]],"[$-409]mmmm")</f>
        <v>November</v>
      </c>
      <c r="J117" s="12">
        <f>MONTH(Dataset[[#This Row],[Purchase_Date]])</f>
        <v>11</v>
      </c>
      <c r="K117" s="13" t="str">
        <f>TEXT(Dataset[[#This Row],[Purchase_Date]],"mm - [$-409]mmmm")</f>
        <v>11 - November</v>
      </c>
      <c r="L117" s="11">
        <f>IF(Dataset[[#This Row],[Purchase_Date]]="","",YEAR(Dataset[[#This Row],[Purchase_Date]]))</f>
        <v>2024</v>
      </c>
      <c r="M117" s="11" t="str" cm="1">
        <f t="array" ref="M117">_xlfn.IFS(B117&lt;=25, "Young Adults", B117&lt;=35, "Emerging Professionals", B117&lt;=50, "Established Adults", TRUE, "Mature Customers")</f>
        <v>Established Adults</v>
      </c>
      <c r="N117" s="11" t="str">
        <f>IF(Dataset[[#This Row],[Total_Spent (€)]]&lt;10,"Low Spender",IF(Dataset[[#This Row],[Total_Spent (€)]]&lt;25,"Medium Spender","High Spender"))</f>
        <v>High Spender</v>
      </c>
    </row>
    <row r="118" spans="1:14" x14ac:dyDescent="0.2">
      <c r="A118" s="14" t="s">
        <v>689</v>
      </c>
      <c r="B118" s="11">
        <v>36</v>
      </c>
      <c r="C118" s="11" t="s">
        <v>847</v>
      </c>
      <c r="D118" s="11">
        <v>38.15</v>
      </c>
      <c r="E118" s="11" t="s">
        <v>37</v>
      </c>
      <c r="F118" s="11" t="s">
        <v>384</v>
      </c>
      <c r="G118" s="11">
        <v>1</v>
      </c>
      <c r="H118" s="11">
        <v>2.94</v>
      </c>
      <c r="I118" s="11" t="str">
        <f>TEXT(Dataset[[#This Row],[Purchase_Date]],"[$-409]mmmm")</f>
        <v>May</v>
      </c>
      <c r="J118" s="12">
        <f>MONTH(Dataset[[#This Row],[Purchase_Date]])</f>
        <v>5</v>
      </c>
      <c r="K118" s="13" t="str">
        <f>TEXT(Dataset[[#This Row],[Purchase_Date]],"mm - [$-409]mmmm")</f>
        <v>05 - May</v>
      </c>
      <c r="L118" s="11">
        <f>IF(Dataset[[#This Row],[Purchase_Date]]="","",YEAR(Dataset[[#This Row],[Purchase_Date]]))</f>
        <v>2025</v>
      </c>
      <c r="M118" s="11" t="str" cm="1">
        <f t="array" ref="M118">_xlfn.IFS(B118&lt;=25, "Young Adults", B118&lt;=35, "Emerging Professionals", B118&lt;=50, "Established Adults", TRUE, "Mature Customers")</f>
        <v>Established Adults</v>
      </c>
      <c r="N118" s="11" t="str">
        <f>IF(Dataset[[#This Row],[Total_Spent (€)]]&lt;10,"Low Spender",IF(Dataset[[#This Row],[Total_Spent (€)]]&lt;25,"Medium Spender","High Spender"))</f>
        <v>High Spender</v>
      </c>
    </row>
    <row r="119" spans="1:14" x14ac:dyDescent="0.2">
      <c r="A119" s="14" t="s">
        <v>688</v>
      </c>
      <c r="B119" s="11">
        <v>31</v>
      </c>
      <c r="C119" s="11" t="s">
        <v>152</v>
      </c>
      <c r="D119" s="11">
        <v>22.69</v>
      </c>
      <c r="E119" s="11" t="s">
        <v>374</v>
      </c>
      <c r="F119" s="11" t="s">
        <v>100</v>
      </c>
      <c r="G119" s="11">
        <v>1</v>
      </c>
      <c r="H119" s="11">
        <v>3.26</v>
      </c>
      <c r="I119" s="11" t="str">
        <f>TEXT(Dataset[[#This Row],[Purchase_Date]],"[$-409]mmmm")</f>
        <v>August</v>
      </c>
      <c r="J119" s="12">
        <f>MONTH(Dataset[[#This Row],[Purchase_Date]])</f>
        <v>8</v>
      </c>
      <c r="K119" s="13" t="str">
        <f>TEXT(Dataset[[#This Row],[Purchase_Date]],"mm - [$-409]mmmm")</f>
        <v>08 - August</v>
      </c>
      <c r="L119" s="11">
        <f>IF(Dataset[[#This Row],[Purchase_Date]]="","",YEAR(Dataset[[#This Row],[Purchase_Date]]))</f>
        <v>2024</v>
      </c>
      <c r="M119" s="11" t="str" cm="1">
        <f t="array" ref="M119">_xlfn.IFS(B119&lt;=25, "Young Adults", B119&lt;=35, "Emerging Professionals", B119&lt;=50, "Established Adults", TRUE, "Mature Customers")</f>
        <v>Emerging Professionals</v>
      </c>
      <c r="N119" s="11" t="str">
        <f>IF(Dataset[[#This Row],[Total_Spent (€)]]&lt;10,"Low Spender",IF(Dataset[[#This Row],[Total_Spent (€)]]&lt;25,"Medium Spender","High Spender"))</f>
        <v>Medium Spender</v>
      </c>
    </row>
    <row r="120" spans="1:14" x14ac:dyDescent="0.2">
      <c r="A120" s="14" t="s">
        <v>687</v>
      </c>
      <c r="B120" s="11">
        <v>25</v>
      </c>
      <c r="C120" s="11" t="s">
        <v>61</v>
      </c>
      <c r="D120" s="11">
        <v>23.1</v>
      </c>
      <c r="E120" s="11" t="s">
        <v>600</v>
      </c>
      <c r="F120" s="11" t="s">
        <v>185</v>
      </c>
      <c r="G120" s="11">
        <v>1</v>
      </c>
      <c r="H120" s="11">
        <v>3.13</v>
      </c>
      <c r="I120" s="11" t="str">
        <f>TEXT(Dataset[[#This Row],[Purchase_Date]],"[$-409]mmmm")</f>
        <v>March</v>
      </c>
      <c r="J120" s="12">
        <f>MONTH(Dataset[[#This Row],[Purchase_Date]])</f>
        <v>3</v>
      </c>
      <c r="K120" s="13" t="str">
        <f>TEXT(Dataset[[#This Row],[Purchase_Date]],"mm - [$-409]mmmm")</f>
        <v>03 - March</v>
      </c>
      <c r="L120" s="11">
        <f>IF(Dataset[[#This Row],[Purchase_Date]]="","",YEAR(Dataset[[#This Row],[Purchase_Date]]))</f>
        <v>2025</v>
      </c>
      <c r="M120" s="11" t="str" cm="1">
        <f t="array" ref="M120">_xlfn.IFS(B120&lt;=25, "Young Adults", B120&lt;=35, "Emerging Professionals", B120&lt;=50, "Established Adults", TRUE, "Mature Customers")</f>
        <v>Young Adults</v>
      </c>
      <c r="N120" s="11" t="str">
        <f>IF(Dataset[[#This Row],[Total_Spent (€)]]&lt;10,"Low Spender",IF(Dataset[[#This Row],[Total_Spent (€)]]&lt;25,"Medium Spender","High Spender"))</f>
        <v>Medium Spender</v>
      </c>
    </row>
    <row r="121" spans="1:14" x14ac:dyDescent="0.2">
      <c r="A121" s="14" t="s">
        <v>686</v>
      </c>
      <c r="B121" s="11">
        <v>50</v>
      </c>
      <c r="C121" s="11" t="s">
        <v>43</v>
      </c>
      <c r="D121" s="11">
        <v>24.36</v>
      </c>
      <c r="E121" s="11" t="s">
        <v>128</v>
      </c>
      <c r="F121" s="11" t="s">
        <v>585</v>
      </c>
      <c r="G121" s="11">
        <v>1</v>
      </c>
      <c r="H121" s="11">
        <v>8.83</v>
      </c>
      <c r="I121" s="11" t="str">
        <f>TEXT(Dataset[[#This Row],[Purchase_Date]],"[$-409]mmmm")</f>
        <v>April</v>
      </c>
      <c r="J121" s="12">
        <f>MONTH(Dataset[[#This Row],[Purchase_Date]])</f>
        <v>4</v>
      </c>
      <c r="K121" s="13" t="str">
        <f>TEXT(Dataset[[#This Row],[Purchase_Date]],"mm - [$-409]mmmm")</f>
        <v>04 - April</v>
      </c>
      <c r="L121" s="11">
        <f>IF(Dataset[[#This Row],[Purchase_Date]]="","",YEAR(Dataset[[#This Row],[Purchase_Date]]))</f>
        <v>2025</v>
      </c>
      <c r="M121" s="11" t="str" cm="1">
        <f t="array" ref="M121">_xlfn.IFS(B121&lt;=25, "Young Adults", B121&lt;=35, "Emerging Professionals", B121&lt;=50, "Established Adults", TRUE, "Mature Customers")</f>
        <v>Established Adults</v>
      </c>
      <c r="N121" s="11" t="str">
        <f>IF(Dataset[[#This Row],[Total_Spent (€)]]&lt;10,"Low Spender",IF(Dataset[[#This Row],[Total_Spent (€)]]&lt;25,"Medium Spender","High Spender"))</f>
        <v>Medium Spender</v>
      </c>
    </row>
    <row r="122" spans="1:14" x14ac:dyDescent="0.2">
      <c r="A122" s="14" t="s">
        <v>685</v>
      </c>
      <c r="B122" s="11">
        <v>23</v>
      </c>
      <c r="C122" s="11" t="s">
        <v>43</v>
      </c>
      <c r="D122" s="11"/>
      <c r="F122" s="11" t="s">
        <v>28</v>
      </c>
      <c r="G122" s="11">
        <v>0</v>
      </c>
      <c r="H122" s="11">
        <v>4.79</v>
      </c>
      <c r="I122" s="11" t="str">
        <f>TEXT(Dataset[[#This Row],[Purchase_Date]],"[$-409]mmmm")</f>
        <v>January</v>
      </c>
      <c r="J122" s="12">
        <f>MONTH(Dataset[[#This Row],[Purchase_Date]])</f>
        <v>1</v>
      </c>
      <c r="K122" s="13" t="str">
        <f>TEXT(Dataset[[#This Row],[Purchase_Date]],"mm - [$-409]mmmm")</f>
        <v>01 - January</v>
      </c>
      <c r="L122" s="11" t="str">
        <f>IF(Dataset[[#This Row],[Purchase_Date]]="","",YEAR(Dataset[[#This Row],[Purchase_Date]]))</f>
        <v/>
      </c>
      <c r="M122" s="11" t="str" cm="1">
        <f t="array" ref="M122">_xlfn.IFS(B122&lt;=25, "Young Adults", B122&lt;=35, "Emerging Professionals", B122&lt;=50, "Established Adults", TRUE, "Mature Customers")</f>
        <v>Young Adults</v>
      </c>
      <c r="N122" s="11" t="str">
        <f>IF(Dataset[[#This Row],[Total_Spent (€)]]&lt;10,"Low Spender",IF(Dataset[[#This Row],[Total_Spent (€)]]&lt;25,"Medium Spender","High Spender"))</f>
        <v>Low Spender</v>
      </c>
    </row>
    <row r="123" spans="1:14" x14ac:dyDescent="0.2">
      <c r="A123" s="14" t="s">
        <v>684</v>
      </c>
      <c r="B123" s="11">
        <v>40</v>
      </c>
      <c r="C123" s="11" t="s">
        <v>43</v>
      </c>
      <c r="D123" s="11"/>
      <c r="F123" s="11" t="s">
        <v>643</v>
      </c>
      <c r="G123" s="11">
        <v>0</v>
      </c>
      <c r="H123" s="11">
        <v>5.57</v>
      </c>
      <c r="I123" s="11" t="str">
        <f>TEXT(Dataset[[#This Row],[Purchase_Date]],"[$-409]mmmm")</f>
        <v>January</v>
      </c>
      <c r="J123" s="12">
        <f>MONTH(Dataset[[#This Row],[Purchase_Date]])</f>
        <v>1</v>
      </c>
      <c r="K123" s="13" t="str">
        <f>TEXT(Dataset[[#This Row],[Purchase_Date]],"mm - [$-409]mmmm")</f>
        <v>01 - January</v>
      </c>
      <c r="L123" s="11" t="str">
        <f>IF(Dataset[[#This Row],[Purchase_Date]]="","",YEAR(Dataset[[#This Row],[Purchase_Date]]))</f>
        <v/>
      </c>
      <c r="M123" s="11" t="str" cm="1">
        <f t="array" ref="M123">_xlfn.IFS(B123&lt;=25, "Young Adults", B123&lt;=35, "Emerging Professionals", B123&lt;=50, "Established Adults", TRUE, "Mature Customers")</f>
        <v>Established Adults</v>
      </c>
      <c r="N123" s="11" t="str">
        <f>IF(Dataset[[#This Row],[Total_Spent (€)]]&lt;10,"Low Spender",IF(Dataset[[#This Row],[Total_Spent (€)]]&lt;25,"Medium Spender","High Spender"))</f>
        <v>Low Spender</v>
      </c>
    </row>
    <row r="124" spans="1:14" x14ac:dyDescent="0.2">
      <c r="A124" s="14" t="s">
        <v>683</v>
      </c>
      <c r="B124" s="11">
        <v>47</v>
      </c>
      <c r="C124" s="11" t="s">
        <v>86</v>
      </c>
      <c r="D124" s="11"/>
      <c r="F124" s="11" t="s">
        <v>207</v>
      </c>
      <c r="G124" s="11">
        <v>0</v>
      </c>
      <c r="H124" s="11">
        <v>4.0599999999999996</v>
      </c>
      <c r="I124" s="11" t="str">
        <f>TEXT(Dataset[[#This Row],[Purchase_Date]],"[$-409]mmmm")</f>
        <v>January</v>
      </c>
      <c r="J124" s="12">
        <f>MONTH(Dataset[[#This Row],[Purchase_Date]])</f>
        <v>1</v>
      </c>
      <c r="K124" s="13" t="str">
        <f>TEXT(Dataset[[#This Row],[Purchase_Date]],"mm - [$-409]mmmm")</f>
        <v>01 - January</v>
      </c>
      <c r="L124" s="11" t="str">
        <f>IF(Dataset[[#This Row],[Purchase_Date]]="","",YEAR(Dataset[[#This Row],[Purchase_Date]]))</f>
        <v/>
      </c>
      <c r="M124" s="11" t="str" cm="1">
        <f t="array" ref="M124">_xlfn.IFS(B124&lt;=25, "Young Adults", B124&lt;=35, "Emerging Professionals", B124&lt;=50, "Established Adults", TRUE, "Mature Customers")</f>
        <v>Established Adults</v>
      </c>
      <c r="N124" s="11" t="str">
        <f>IF(Dataset[[#This Row],[Total_Spent (€)]]&lt;10,"Low Spender",IF(Dataset[[#This Row],[Total_Spent (€)]]&lt;25,"Medium Spender","High Spender"))</f>
        <v>Low Spender</v>
      </c>
    </row>
    <row r="125" spans="1:14" x14ac:dyDescent="0.2">
      <c r="A125" s="14" t="s">
        <v>682</v>
      </c>
      <c r="B125" s="11">
        <v>37</v>
      </c>
      <c r="C125" s="11" t="s">
        <v>844</v>
      </c>
      <c r="D125" s="11"/>
      <c r="F125" s="11" t="s">
        <v>149</v>
      </c>
      <c r="G125" s="11">
        <v>0</v>
      </c>
      <c r="H125" s="11">
        <v>3</v>
      </c>
      <c r="I125" s="11" t="str">
        <f>TEXT(Dataset[[#This Row],[Purchase_Date]],"[$-409]mmmm")</f>
        <v>January</v>
      </c>
      <c r="J125" s="12">
        <f>MONTH(Dataset[[#This Row],[Purchase_Date]])</f>
        <v>1</v>
      </c>
      <c r="K125" s="13" t="str">
        <f>TEXT(Dataset[[#This Row],[Purchase_Date]],"mm - [$-409]mmmm")</f>
        <v>01 - January</v>
      </c>
      <c r="L125" s="11" t="str">
        <f>IF(Dataset[[#This Row],[Purchase_Date]]="","",YEAR(Dataset[[#This Row],[Purchase_Date]]))</f>
        <v/>
      </c>
      <c r="M125" s="11" t="str" cm="1">
        <f t="array" ref="M125">_xlfn.IFS(B125&lt;=25, "Young Adults", B125&lt;=35, "Emerging Professionals", B125&lt;=50, "Established Adults", TRUE, "Mature Customers")</f>
        <v>Established Adults</v>
      </c>
      <c r="N125" s="11" t="str">
        <f>IF(Dataset[[#This Row],[Total_Spent (€)]]&lt;10,"Low Spender",IF(Dataset[[#This Row],[Total_Spent (€)]]&lt;25,"Medium Spender","High Spender"))</f>
        <v>Low Spender</v>
      </c>
    </row>
    <row r="126" spans="1:14" x14ac:dyDescent="0.2">
      <c r="A126" s="14" t="s">
        <v>681</v>
      </c>
      <c r="B126" s="11">
        <v>26</v>
      </c>
      <c r="C126" s="11" t="s">
        <v>845</v>
      </c>
      <c r="D126" s="11"/>
      <c r="F126" s="11" t="s">
        <v>437</v>
      </c>
      <c r="G126" s="11">
        <v>0</v>
      </c>
      <c r="H126" s="11">
        <v>6.85</v>
      </c>
      <c r="I126" s="11" t="str">
        <f>TEXT(Dataset[[#This Row],[Purchase_Date]],"[$-409]mmmm")</f>
        <v>January</v>
      </c>
      <c r="J126" s="12">
        <f>MONTH(Dataset[[#This Row],[Purchase_Date]])</f>
        <v>1</v>
      </c>
      <c r="K126" s="13" t="str">
        <f>TEXT(Dataset[[#This Row],[Purchase_Date]],"mm - [$-409]mmmm")</f>
        <v>01 - January</v>
      </c>
      <c r="L126" s="11" t="str">
        <f>IF(Dataset[[#This Row],[Purchase_Date]]="","",YEAR(Dataset[[#This Row],[Purchase_Date]]))</f>
        <v/>
      </c>
      <c r="M126" s="11" t="str" cm="1">
        <f t="array" ref="M126">_xlfn.IFS(B126&lt;=25, "Young Adults", B126&lt;=35, "Emerging Professionals", B126&lt;=50, "Established Adults", TRUE, "Mature Customers")</f>
        <v>Emerging Professionals</v>
      </c>
      <c r="N126" s="11" t="str">
        <f>IF(Dataset[[#This Row],[Total_Spent (€)]]&lt;10,"Low Spender",IF(Dataset[[#This Row],[Total_Spent (€)]]&lt;25,"Medium Spender","High Spender"))</f>
        <v>Low Spender</v>
      </c>
    </row>
    <row r="127" spans="1:14" x14ac:dyDescent="0.2">
      <c r="A127" s="14" t="s">
        <v>680</v>
      </c>
      <c r="B127" s="11">
        <v>28</v>
      </c>
      <c r="C127" s="11" t="s">
        <v>86</v>
      </c>
      <c r="D127" s="11">
        <v>17.39</v>
      </c>
      <c r="E127" s="11" t="s">
        <v>133</v>
      </c>
      <c r="F127" s="11" t="s">
        <v>133</v>
      </c>
      <c r="G127" s="11">
        <v>1</v>
      </c>
      <c r="H127" s="11">
        <v>3.98</v>
      </c>
      <c r="I127" s="11" t="str">
        <f>TEXT(Dataset[[#This Row],[Purchase_Date]],"[$-409]mmmm")</f>
        <v>July</v>
      </c>
      <c r="J127" s="12">
        <f>MONTH(Dataset[[#This Row],[Purchase_Date]])</f>
        <v>7</v>
      </c>
      <c r="K127" s="13" t="str">
        <f>TEXT(Dataset[[#This Row],[Purchase_Date]],"mm - [$-409]mmmm")</f>
        <v>07 - July</v>
      </c>
      <c r="L127" s="11">
        <f>IF(Dataset[[#This Row],[Purchase_Date]]="","",YEAR(Dataset[[#This Row],[Purchase_Date]]))</f>
        <v>2024</v>
      </c>
      <c r="M127" s="11" t="str" cm="1">
        <f t="array" ref="M127">_xlfn.IFS(B127&lt;=25, "Young Adults", B127&lt;=35, "Emerging Professionals", B127&lt;=50, "Established Adults", TRUE, "Mature Customers")</f>
        <v>Emerging Professionals</v>
      </c>
      <c r="N127" s="11" t="str">
        <f>IF(Dataset[[#This Row],[Total_Spent (€)]]&lt;10,"Low Spender",IF(Dataset[[#This Row],[Total_Spent (€)]]&lt;25,"Medium Spender","High Spender"))</f>
        <v>Medium Spender</v>
      </c>
    </row>
    <row r="128" spans="1:14" x14ac:dyDescent="0.2">
      <c r="A128" s="14" t="s">
        <v>679</v>
      </c>
      <c r="B128" s="11">
        <v>26</v>
      </c>
      <c r="C128" s="11" t="s">
        <v>43</v>
      </c>
      <c r="D128" s="11"/>
      <c r="F128" s="11" t="s">
        <v>437</v>
      </c>
      <c r="G128" s="11">
        <v>0</v>
      </c>
      <c r="H128" s="11">
        <v>6.4</v>
      </c>
      <c r="I128" s="11" t="str">
        <f>TEXT(Dataset[[#This Row],[Purchase_Date]],"[$-409]mmmm")</f>
        <v>January</v>
      </c>
      <c r="J128" s="12">
        <f>MONTH(Dataset[[#This Row],[Purchase_Date]])</f>
        <v>1</v>
      </c>
      <c r="K128" s="13" t="str">
        <f>TEXT(Dataset[[#This Row],[Purchase_Date]],"mm - [$-409]mmmm")</f>
        <v>01 - January</v>
      </c>
      <c r="L128" s="11" t="str">
        <f>IF(Dataset[[#This Row],[Purchase_Date]]="","",YEAR(Dataset[[#This Row],[Purchase_Date]]))</f>
        <v/>
      </c>
      <c r="M128" s="11" t="str" cm="1">
        <f t="array" ref="M128">_xlfn.IFS(B128&lt;=25, "Young Adults", B128&lt;=35, "Emerging Professionals", B128&lt;=50, "Established Adults", TRUE, "Mature Customers")</f>
        <v>Emerging Professionals</v>
      </c>
      <c r="N128" s="11" t="str">
        <f>IF(Dataset[[#This Row],[Total_Spent (€)]]&lt;10,"Low Spender",IF(Dataset[[#This Row],[Total_Spent (€)]]&lt;25,"Medium Spender","High Spender"))</f>
        <v>Low Spender</v>
      </c>
    </row>
    <row r="129" spans="1:14" x14ac:dyDescent="0.2">
      <c r="A129" s="14" t="s">
        <v>678</v>
      </c>
      <c r="B129" s="11">
        <v>40</v>
      </c>
      <c r="C129" s="11" t="s">
        <v>75</v>
      </c>
      <c r="D129" s="11"/>
      <c r="F129" s="11" t="s">
        <v>176</v>
      </c>
      <c r="G129" s="11">
        <v>0</v>
      </c>
      <c r="H129" s="11">
        <v>9.7899999999999991</v>
      </c>
      <c r="I129" s="11" t="str">
        <f>TEXT(Dataset[[#This Row],[Purchase_Date]],"[$-409]mmmm")</f>
        <v>January</v>
      </c>
      <c r="J129" s="12">
        <f>MONTH(Dataset[[#This Row],[Purchase_Date]])</f>
        <v>1</v>
      </c>
      <c r="K129" s="13" t="str">
        <f>TEXT(Dataset[[#This Row],[Purchase_Date]],"mm - [$-409]mmmm")</f>
        <v>01 - January</v>
      </c>
      <c r="L129" s="11" t="str">
        <f>IF(Dataset[[#This Row],[Purchase_Date]]="","",YEAR(Dataset[[#This Row],[Purchase_Date]]))</f>
        <v/>
      </c>
      <c r="M129" s="11" t="str" cm="1">
        <f t="array" ref="M129">_xlfn.IFS(B129&lt;=25, "Young Adults", B129&lt;=35, "Emerging Professionals", B129&lt;=50, "Established Adults", TRUE, "Mature Customers")</f>
        <v>Established Adults</v>
      </c>
      <c r="N129" s="11" t="str">
        <f>IF(Dataset[[#This Row],[Total_Spent (€)]]&lt;10,"Low Spender",IF(Dataset[[#This Row],[Total_Spent (€)]]&lt;25,"Medium Spender","High Spender"))</f>
        <v>Low Spender</v>
      </c>
    </row>
    <row r="130" spans="1:14" x14ac:dyDescent="0.2">
      <c r="A130" s="14" t="s">
        <v>677</v>
      </c>
      <c r="B130" s="11">
        <v>47</v>
      </c>
      <c r="C130" s="11" t="s">
        <v>844</v>
      </c>
      <c r="D130" s="11"/>
      <c r="F130" s="11" t="s">
        <v>135</v>
      </c>
      <c r="G130" s="11">
        <v>0</v>
      </c>
      <c r="H130" s="11">
        <v>2.2400000000000002</v>
      </c>
      <c r="I130" s="11" t="str">
        <f>TEXT(Dataset[[#This Row],[Purchase_Date]],"[$-409]mmmm")</f>
        <v>January</v>
      </c>
      <c r="J130" s="12">
        <f>MONTH(Dataset[[#This Row],[Purchase_Date]])</f>
        <v>1</v>
      </c>
      <c r="K130" s="13" t="str">
        <f>TEXT(Dataset[[#This Row],[Purchase_Date]],"mm - [$-409]mmmm")</f>
        <v>01 - January</v>
      </c>
      <c r="L130" s="11" t="str">
        <f>IF(Dataset[[#This Row],[Purchase_Date]]="","",YEAR(Dataset[[#This Row],[Purchase_Date]]))</f>
        <v/>
      </c>
      <c r="M130" s="11" t="str" cm="1">
        <f t="array" ref="M130">_xlfn.IFS(B130&lt;=25, "Young Adults", B130&lt;=35, "Emerging Professionals", B130&lt;=50, "Established Adults", TRUE, "Mature Customers")</f>
        <v>Established Adults</v>
      </c>
      <c r="N130" s="11" t="str">
        <f>IF(Dataset[[#This Row],[Total_Spent (€)]]&lt;10,"Low Spender",IF(Dataset[[#This Row],[Total_Spent (€)]]&lt;25,"Medium Spender","High Spender"))</f>
        <v>Low Spender</v>
      </c>
    </row>
    <row r="131" spans="1:14" x14ac:dyDescent="0.2">
      <c r="A131" s="14" t="s">
        <v>676</v>
      </c>
      <c r="B131" s="11">
        <v>38</v>
      </c>
      <c r="C131" s="11" t="s">
        <v>17</v>
      </c>
      <c r="D131" s="11">
        <v>15.8</v>
      </c>
      <c r="E131" s="11" t="s">
        <v>254</v>
      </c>
      <c r="F131" s="11" t="s">
        <v>242</v>
      </c>
      <c r="G131" s="11">
        <v>1</v>
      </c>
      <c r="H131" s="11">
        <v>3.16</v>
      </c>
      <c r="I131" s="11" t="str">
        <f>TEXT(Dataset[[#This Row],[Purchase_Date]],"[$-409]mmmm")</f>
        <v>November</v>
      </c>
      <c r="J131" s="12">
        <f>MONTH(Dataset[[#This Row],[Purchase_Date]])</f>
        <v>11</v>
      </c>
      <c r="K131" s="13" t="str">
        <f>TEXT(Dataset[[#This Row],[Purchase_Date]],"mm - [$-409]mmmm")</f>
        <v>11 - November</v>
      </c>
      <c r="L131" s="11">
        <f>IF(Dataset[[#This Row],[Purchase_Date]]="","",YEAR(Dataset[[#This Row],[Purchase_Date]]))</f>
        <v>2024</v>
      </c>
      <c r="M131" s="11" t="str" cm="1">
        <f t="array" ref="M131">_xlfn.IFS(B131&lt;=25, "Young Adults", B131&lt;=35, "Emerging Professionals", B131&lt;=50, "Established Adults", TRUE, "Mature Customers")</f>
        <v>Established Adults</v>
      </c>
      <c r="N131" s="11" t="str">
        <f>IF(Dataset[[#This Row],[Total_Spent (€)]]&lt;10,"Low Spender",IF(Dataset[[#This Row],[Total_Spent (€)]]&lt;25,"Medium Spender","High Spender"))</f>
        <v>Medium Spender</v>
      </c>
    </row>
    <row r="132" spans="1:14" x14ac:dyDescent="0.2">
      <c r="A132" s="14" t="s">
        <v>675</v>
      </c>
      <c r="B132" s="11">
        <v>22</v>
      </c>
      <c r="C132" s="11" t="s">
        <v>840</v>
      </c>
      <c r="D132" s="11">
        <v>14.26</v>
      </c>
      <c r="E132" s="11" t="s">
        <v>60</v>
      </c>
      <c r="F132" s="11" t="s">
        <v>674</v>
      </c>
      <c r="G132" s="11">
        <v>1</v>
      </c>
      <c r="H132" s="11">
        <v>9.3000000000000007</v>
      </c>
      <c r="I132" s="11" t="str">
        <f>TEXT(Dataset[[#This Row],[Purchase_Date]],"[$-409]mmmm")</f>
        <v>September</v>
      </c>
      <c r="J132" s="12">
        <f>MONTH(Dataset[[#This Row],[Purchase_Date]])</f>
        <v>9</v>
      </c>
      <c r="K132" s="13" t="str">
        <f>TEXT(Dataset[[#This Row],[Purchase_Date]],"mm - [$-409]mmmm")</f>
        <v>09 - September</v>
      </c>
      <c r="L132" s="11">
        <f>IF(Dataset[[#This Row],[Purchase_Date]]="","",YEAR(Dataset[[#This Row],[Purchase_Date]]))</f>
        <v>2024</v>
      </c>
      <c r="M132" s="11" t="str" cm="1">
        <f t="array" ref="M132">_xlfn.IFS(B132&lt;=25, "Young Adults", B132&lt;=35, "Emerging Professionals", B132&lt;=50, "Established Adults", TRUE, "Mature Customers")</f>
        <v>Young Adults</v>
      </c>
      <c r="N132" s="11" t="str">
        <f>IF(Dataset[[#This Row],[Total_Spent (€)]]&lt;10,"Low Spender",IF(Dataset[[#This Row],[Total_Spent (€)]]&lt;25,"Medium Spender","High Spender"))</f>
        <v>Medium Spender</v>
      </c>
    </row>
    <row r="133" spans="1:14" x14ac:dyDescent="0.2">
      <c r="A133" s="14" t="s">
        <v>673</v>
      </c>
      <c r="B133" s="11">
        <v>51</v>
      </c>
      <c r="C133" s="11" t="s">
        <v>20</v>
      </c>
      <c r="D133" s="11">
        <v>22.2</v>
      </c>
      <c r="E133" s="11" t="s">
        <v>326</v>
      </c>
      <c r="F133" s="11" t="s">
        <v>672</v>
      </c>
      <c r="G133" s="11">
        <v>1</v>
      </c>
      <c r="H133" s="11">
        <v>2.0299999999999998</v>
      </c>
      <c r="I133" s="11" t="str">
        <f>TEXT(Dataset[[#This Row],[Purchase_Date]],"[$-409]mmmm")</f>
        <v>July</v>
      </c>
      <c r="J133" s="12">
        <f>MONTH(Dataset[[#This Row],[Purchase_Date]])</f>
        <v>7</v>
      </c>
      <c r="K133" s="13" t="str">
        <f>TEXT(Dataset[[#This Row],[Purchase_Date]],"mm - [$-409]mmmm")</f>
        <v>07 - July</v>
      </c>
      <c r="L133" s="11">
        <f>IF(Dataset[[#This Row],[Purchase_Date]]="","",YEAR(Dataset[[#This Row],[Purchase_Date]]))</f>
        <v>2024</v>
      </c>
      <c r="M133" s="11" t="str" cm="1">
        <f t="array" ref="M133">_xlfn.IFS(B133&lt;=25, "Young Adults", B133&lt;=35, "Emerging Professionals", B133&lt;=50, "Established Adults", TRUE, "Mature Customers")</f>
        <v>Mature Customers</v>
      </c>
      <c r="N133" s="11" t="str">
        <f>IF(Dataset[[#This Row],[Total_Spent (€)]]&lt;10,"Low Spender",IF(Dataset[[#This Row],[Total_Spent (€)]]&lt;25,"Medium Spender","High Spender"))</f>
        <v>Medium Spender</v>
      </c>
    </row>
    <row r="134" spans="1:14" x14ac:dyDescent="0.2">
      <c r="A134" s="14" t="s">
        <v>671</v>
      </c>
      <c r="B134" s="11">
        <v>42</v>
      </c>
      <c r="C134" s="11" t="s">
        <v>75</v>
      </c>
      <c r="D134" s="11">
        <v>9.61</v>
      </c>
      <c r="E134" s="11" t="s">
        <v>196</v>
      </c>
      <c r="F134" s="11" t="s">
        <v>670</v>
      </c>
      <c r="G134" s="11">
        <v>1</v>
      </c>
      <c r="H134" s="11">
        <v>4.2</v>
      </c>
      <c r="I134" s="11" t="str">
        <f>TEXT(Dataset[[#This Row],[Purchase_Date]],"[$-409]mmmm")</f>
        <v>December</v>
      </c>
      <c r="J134" s="12">
        <f>MONTH(Dataset[[#This Row],[Purchase_Date]])</f>
        <v>12</v>
      </c>
      <c r="K134" s="13" t="str">
        <f>TEXT(Dataset[[#This Row],[Purchase_Date]],"mm - [$-409]mmmm")</f>
        <v>12 - December</v>
      </c>
      <c r="L134" s="11">
        <f>IF(Dataset[[#This Row],[Purchase_Date]]="","",YEAR(Dataset[[#This Row],[Purchase_Date]]))</f>
        <v>2024</v>
      </c>
      <c r="M134" s="11" t="str" cm="1">
        <f t="array" ref="M134">_xlfn.IFS(B134&lt;=25, "Young Adults", B134&lt;=35, "Emerging Professionals", B134&lt;=50, "Established Adults", TRUE, "Mature Customers")</f>
        <v>Established Adults</v>
      </c>
      <c r="N134" s="11" t="str">
        <f>IF(Dataset[[#This Row],[Total_Spent (€)]]&lt;10,"Low Spender",IF(Dataset[[#This Row],[Total_Spent (€)]]&lt;25,"Medium Spender","High Spender"))</f>
        <v>Low Spender</v>
      </c>
    </row>
    <row r="135" spans="1:14" x14ac:dyDescent="0.2">
      <c r="A135" s="14" t="s">
        <v>669</v>
      </c>
      <c r="B135" s="11">
        <v>23</v>
      </c>
      <c r="C135" s="11" t="s">
        <v>846</v>
      </c>
      <c r="D135" s="11">
        <v>23.99</v>
      </c>
      <c r="E135" s="11" t="s">
        <v>109</v>
      </c>
      <c r="F135" s="11" t="s">
        <v>384</v>
      </c>
      <c r="G135" s="11">
        <v>1</v>
      </c>
      <c r="H135" s="11">
        <v>4.5199999999999996</v>
      </c>
      <c r="I135" s="11" t="str">
        <f>TEXT(Dataset[[#This Row],[Purchase_Date]],"[$-409]mmmm")</f>
        <v>May</v>
      </c>
      <c r="J135" s="12">
        <f>MONTH(Dataset[[#This Row],[Purchase_Date]])</f>
        <v>5</v>
      </c>
      <c r="K135" s="13" t="str">
        <f>TEXT(Dataset[[#This Row],[Purchase_Date]],"mm - [$-409]mmmm")</f>
        <v>05 - May</v>
      </c>
      <c r="L135" s="11">
        <f>IF(Dataset[[#This Row],[Purchase_Date]]="","",YEAR(Dataset[[#This Row],[Purchase_Date]]))</f>
        <v>2025</v>
      </c>
      <c r="M135" s="11" t="str" cm="1">
        <f t="array" ref="M135">_xlfn.IFS(B135&lt;=25, "Young Adults", B135&lt;=35, "Emerging Professionals", B135&lt;=50, "Established Adults", TRUE, "Mature Customers")</f>
        <v>Young Adults</v>
      </c>
      <c r="N135" s="11" t="str">
        <f>IF(Dataset[[#This Row],[Total_Spent (€)]]&lt;10,"Low Spender",IF(Dataset[[#This Row],[Total_Spent (€)]]&lt;25,"Medium Spender","High Spender"))</f>
        <v>Medium Spender</v>
      </c>
    </row>
    <row r="136" spans="1:14" x14ac:dyDescent="0.2">
      <c r="A136" s="14" t="s">
        <v>668</v>
      </c>
      <c r="B136" s="11">
        <v>48</v>
      </c>
      <c r="C136" s="11" t="s">
        <v>61</v>
      </c>
      <c r="D136" s="11"/>
      <c r="F136" s="11" t="s">
        <v>667</v>
      </c>
      <c r="G136" s="11">
        <v>0</v>
      </c>
      <c r="H136" s="11">
        <v>6.82</v>
      </c>
      <c r="I136" s="11" t="str">
        <f>TEXT(Dataset[[#This Row],[Purchase_Date]],"[$-409]mmmm")</f>
        <v>January</v>
      </c>
      <c r="J136" s="12">
        <f>MONTH(Dataset[[#This Row],[Purchase_Date]])</f>
        <v>1</v>
      </c>
      <c r="K136" s="13" t="str">
        <f>TEXT(Dataset[[#This Row],[Purchase_Date]],"mm - [$-409]mmmm")</f>
        <v>01 - January</v>
      </c>
      <c r="L136" s="11" t="str">
        <f>IF(Dataset[[#This Row],[Purchase_Date]]="","",YEAR(Dataset[[#This Row],[Purchase_Date]]))</f>
        <v/>
      </c>
      <c r="M136" s="11" t="str" cm="1">
        <f t="array" ref="M136">_xlfn.IFS(B136&lt;=25, "Young Adults", B136&lt;=35, "Emerging Professionals", B136&lt;=50, "Established Adults", TRUE, "Mature Customers")</f>
        <v>Established Adults</v>
      </c>
      <c r="N136" s="11" t="str">
        <f>IF(Dataset[[#This Row],[Total_Spent (€)]]&lt;10,"Low Spender",IF(Dataset[[#This Row],[Total_Spent (€)]]&lt;25,"Medium Spender","High Spender"))</f>
        <v>Low Spender</v>
      </c>
    </row>
    <row r="137" spans="1:14" x14ac:dyDescent="0.2">
      <c r="A137" s="14" t="s">
        <v>666</v>
      </c>
      <c r="B137" s="11">
        <v>32</v>
      </c>
      <c r="C137" s="11" t="s">
        <v>9</v>
      </c>
      <c r="D137" s="11">
        <v>20.87</v>
      </c>
      <c r="E137" s="11" t="s">
        <v>207</v>
      </c>
      <c r="F137" s="11" t="s">
        <v>665</v>
      </c>
      <c r="G137" s="11">
        <v>1</v>
      </c>
      <c r="H137" s="11">
        <v>9.76</v>
      </c>
      <c r="I137" s="11" t="str">
        <f>TEXT(Dataset[[#This Row],[Purchase_Date]],"[$-409]mmmm")</f>
        <v>May</v>
      </c>
      <c r="J137" s="12">
        <f>MONTH(Dataset[[#This Row],[Purchase_Date]])</f>
        <v>5</v>
      </c>
      <c r="K137" s="13" t="str">
        <f>TEXT(Dataset[[#This Row],[Purchase_Date]],"mm - [$-409]mmmm")</f>
        <v>05 - May</v>
      </c>
      <c r="L137" s="11">
        <f>IF(Dataset[[#This Row],[Purchase_Date]]="","",YEAR(Dataset[[#This Row],[Purchase_Date]]))</f>
        <v>2025</v>
      </c>
      <c r="M137" s="11" t="str" cm="1">
        <f t="array" ref="M137">_xlfn.IFS(B137&lt;=25, "Young Adults", B137&lt;=35, "Emerging Professionals", B137&lt;=50, "Established Adults", TRUE, "Mature Customers")</f>
        <v>Emerging Professionals</v>
      </c>
      <c r="N137" s="11" t="str">
        <f>IF(Dataset[[#This Row],[Total_Spent (€)]]&lt;10,"Low Spender",IF(Dataset[[#This Row],[Total_Spent (€)]]&lt;25,"Medium Spender","High Spender"))</f>
        <v>Medium Spender</v>
      </c>
    </row>
    <row r="138" spans="1:14" x14ac:dyDescent="0.2">
      <c r="A138" s="14" t="s">
        <v>664</v>
      </c>
      <c r="B138" s="11">
        <v>20</v>
      </c>
      <c r="C138" s="11" t="s">
        <v>846</v>
      </c>
      <c r="D138" s="11"/>
      <c r="F138" s="11" t="s">
        <v>310</v>
      </c>
      <c r="G138" s="11">
        <v>0</v>
      </c>
      <c r="H138" s="11">
        <v>7.9</v>
      </c>
      <c r="I138" s="11" t="str">
        <f>TEXT(Dataset[[#This Row],[Purchase_Date]],"[$-409]mmmm")</f>
        <v>January</v>
      </c>
      <c r="J138" s="12">
        <f>MONTH(Dataset[[#This Row],[Purchase_Date]])</f>
        <v>1</v>
      </c>
      <c r="K138" s="13" t="str">
        <f>TEXT(Dataset[[#This Row],[Purchase_Date]],"mm - [$-409]mmmm")</f>
        <v>01 - January</v>
      </c>
      <c r="L138" s="11" t="str">
        <f>IF(Dataset[[#This Row],[Purchase_Date]]="","",YEAR(Dataset[[#This Row],[Purchase_Date]]))</f>
        <v/>
      </c>
      <c r="M138" s="11" t="str" cm="1">
        <f t="array" ref="M138">_xlfn.IFS(B138&lt;=25, "Young Adults", B138&lt;=35, "Emerging Professionals", B138&lt;=50, "Established Adults", TRUE, "Mature Customers")</f>
        <v>Young Adults</v>
      </c>
      <c r="N138" s="11" t="str">
        <f>IF(Dataset[[#This Row],[Total_Spent (€)]]&lt;10,"Low Spender",IF(Dataset[[#This Row],[Total_Spent (€)]]&lt;25,"Medium Spender","High Spender"))</f>
        <v>Low Spender</v>
      </c>
    </row>
    <row r="139" spans="1:14" x14ac:dyDescent="0.2">
      <c r="A139" s="14" t="s">
        <v>663</v>
      </c>
      <c r="B139" s="11">
        <v>38</v>
      </c>
      <c r="C139" s="11" t="s">
        <v>38</v>
      </c>
      <c r="D139" s="11">
        <v>21.01</v>
      </c>
      <c r="E139" s="11" t="s">
        <v>662</v>
      </c>
      <c r="F139" s="11" t="s">
        <v>113</v>
      </c>
      <c r="G139" s="11">
        <v>1</v>
      </c>
      <c r="H139" s="11">
        <v>9.43</v>
      </c>
      <c r="I139" s="11" t="str">
        <f>TEXT(Dataset[[#This Row],[Purchase_Date]],"[$-409]mmmm")</f>
        <v>November</v>
      </c>
      <c r="J139" s="12">
        <f>MONTH(Dataset[[#This Row],[Purchase_Date]])</f>
        <v>11</v>
      </c>
      <c r="K139" s="13" t="str">
        <f>TEXT(Dataset[[#This Row],[Purchase_Date]],"mm - [$-409]mmmm")</f>
        <v>11 - November</v>
      </c>
      <c r="L139" s="11">
        <f>IF(Dataset[[#This Row],[Purchase_Date]]="","",YEAR(Dataset[[#This Row],[Purchase_Date]]))</f>
        <v>2024</v>
      </c>
      <c r="M139" s="11" t="str" cm="1">
        <f t="array" ref="M139">_xlfn.IFS(B139&lt;=25, "Young Adults", B139&lt;=35, "Emerging Professionals", B139&lt;=50, "Established Adults", TRUE, "Mature Customers")</f>
        <v>Established Adults</v>
      </c>
      <c r="N139" s="11" t="str">
        <f>IF(Dataset[[#This Row],[Total_Spent (€)]]&lt;10,"Low Spender",IF(Dataset[[#This Row],[Total_Spent (€)]]&lt;25,"Medium Spender","High Spender"))</f>
        <v>Medium Spender</v>
      </c>
    </row>
    <row r="140" spans="1:14" x14ac:dyDescent="0.2">
      <c r="A140" s="14" t="s">
        <v>661</v>
      </c>
      <c r="B140" s="11">
        <v>44</v>
      </c>
      <c r="C140" s="11" t="s">
        <v>843</v>
      </c>
      <c r="D140" s="11">
        <v>19.5</v>
      </c>
      <c r="E140" s="11" t="s">
        <v>367</v>
      </c>
      <c r="F140" s="11" t="s">
        <v>139</v>
      </c>
      <c r="G140" s="11">
        <v>1</v>
      </c>
      <c r="H140" s="11">
        <v>9.8000000000000007</v>
      </c>
      <c r="I140" s="11" t="str">
        <f>TEXT(Dataset[[#This Row],[Purchase_Date]],"[$-409]mmmm")</f>
        <v>November</v>
      </c>
      <c r="J140" s="12">
        <f>MONTH(Dataset[[#This Row],[Purchase_Date]])</f>
        <v>11</v>
      </c>
      <c r="K140" s="13" t="str">
        <f>TEXT(Dataset[[#This Row],[Purchase_Date]],"mm - [$-409]mmmm")</f>
        <v>11 - November</v>
      </c>
      <c r="L140" s="11">
        <f>IF(Dataset[[#This Row],[Purchase_Date]]="","",YEAR(Dataset[[#This Row],[Purchase_Date]]))</f>
        <v>2024</v>
      </c>
      <c r="M140" s="11" t="str" cm="1">
        <f t="array" ref="M140">_xlfn.IFS(B140&lt;=25, "Young Adults", B140&lt;=35, "Emerging Professionals", B140&lt;=50, "Established Adults", TRUE, "Mature Customers")</f>
        <v>Established Adults</v>
      </c>
      <c r="N140" s="11" t="str">
        <f>IF(Dataset[[#This Row],[Total_Spent (€)]]&lt;10,"Low Spender",IF(Dataset[[#This Row],[Total_Spent (€)]]&lt;25,"Medium Spender","High Spender"))</f>
        <v>Medium Spender</v>
      </c>
    </row>
    <row r="141" spans="1:14" x14ac:dyDescent="0.2">
      <c r="A141" s="14" t="s">
        <v>660</v>
      </c>
      <c r="B141" s="11">
        <v>52</v>
      </c>
      <c r="C141" s="11" t="s">
        <v>86</v>
      </c>
      <c r="D141" s="11">
        <v>20.059999999999999</v>
      </c>
      <c r="E141" s="11" t="s">
        <v>659</v>
      </c>
      <c r="F141" s="11" t="s">
        <v>125</v>
      </c>
      <c r="G141" s="11">
        <v>1</v>
      </c>
      <c r="H141" s="11">
        <v>3.75</v>
      </c>
      <c r="I141" s="11" t="str">
        <f>TEXT(Dataset[[#This Row],[Purchase_Date]],"[$-409]mmmm")</f>
        <v>October</v>
      </c>
      <c r="J141" s="12">
        <f>MONTH(Dataset[[#This Row],[Purchase_Date]])</f>
        <v>10</v>
      </c>
      <c r="K141" s="13" t="str">
        <f>TEXT(Dataset[[#This Row],[Purchase_Date]],"mm - [$-409]mmmm")</f>
        <v>10 - October</v>
      </c>
      <c r="L141" s="11">
        <f>IF(Dataset[[#This Row],[Purchase_Date]]="","",YEAR(Dataset[[#This Row],[Purchase_Date]]))</f>
        <v>2024</v>
      </c>
      <c r="M141" s="11" t="str" cm="1">
        <f t="array" ref="M141">_xlfn.IFS(B141&lt;=25, "Young Adults", B141&lt;=35, "Emerging Professionals", B141&lt;=50, "Established Adults", TRUE, "Mature Customers")</f>
        <v>Mature Customers</v>
      </c>
      <c r="N141" s="11" t="str">
        <f>IF(Dataset[[#This Row],[Total_Spent (€)]]&lt;10,"Low Spender",IF(Dataset[[#This Row],[Total_Spent (€)]]&lt;25,"Medium Spender","High Spender"))</f>
        <v>Medium Spender</v>
      </c>
    </row>
    <row r="142" spans="1:14" x14ac:dyDescent="0.2">
      <c r="A142" s="14" t="s">
        <v>658</v>
      </c>
      <c r="B142" s="11">
        <v>49</v>
      </c>
      <c r="C142" s="11" t="s">
        <v>61</v>
      </c>
      <c r="D142" s="11"/>
      <c r="F142" s="11" t="s">
        <v>63</v>
      </c>
      <c r="G142" s="11">
        <v>0</v>
      </c>
      <c r="H142" s="11">
        <v>5.39</v>
      </c>
      <c r="I142" s="11" t="str">
        <f>TEXT(Dataset[[#This Row],[Purchase_Date]],"[$-409]mmmm")</f>
        <v>January</v>
      </c>
      <c r="J142" s="12">
        <f>MONTH(Dataset[[#This Row],[Purchase_Date]])</f>
        <v>1</v>
      </c>
      <c r="K142" s="13" t="str">
        <f>TEXT(Dataset[[#This Row],[Purchase_Date]],"mm - [$-409]mmmm")</f>
        <v>01 - January</v>
      </c>
      <c r="L142" s="11" t="str">
        <f>IF(Dataset[[#This Row],[Purchase_Date]]="","",YEAR(Dataset[[#This Row],[Purchase_Date]]))</f>
        <v/>
      </c>
      <c r="M142" s="11" t="str" cm="1">
        <f t="array" ref="M142">_xlfn.IFS(B142&lt;=25, "Young Adults", B142&lt;=35, "Emerging Professionals", B142&lt;=50, "Established Adults", TRUE, "Mature Customers")</f>
        <v>Established Adults</v>
      </c>
      <c r="N142" s="11" t="str">
        <f>IF(Dataset[[#This Row],[Total_Spent (€)]]&lt;10,"Low Spender",IF(Dataset[[#This Row],[Total_Spent (€)]]&lt;25,"Medium Spender","High Spender"))</f>
        <v>Low Spender</v>
      </c>
    </row>
    <row r="143" spans="1:14" x14ac:dyDescent="0.2">
      <c r="A143" s="14" t="s">
        <v>657</v>
      </c>
      <c r="B143" s="11">
        <v>44</v>
      </c>
      <c r="C143" s="11" t="s">
        <v>13</v>
      </c>
      <c r="D143" s="11"/>
      <c r="F143" s="11" t="s">
        <v>42</v>
      </c>
      <c r="G143" s="11">
        <v>0</v>
      </c>
      <c r="H143" s="11">
        <v>5.92</v>
      </c>
      <c r="I143" s="11" t="str">
        <f>TEXT(Dataset[[#This Row],[Purchase_Date]],"[$-409]mmmm")</f>
        <v>January</v>
      </c>
      <c r="J143" s="12">
        <f>MONTH(Dataset[[#This Row],[Purchase_Date]])</f>
        <v>1</v>
      </c>
      <c r="K143" s="13" t="str">
        <f>TEXT(Dataset[[#This Row],[Purchase_Date]],"mm - [$-409]mmmm")</f>
        <v>01 - January</v>
      </c>
      <c r="L143" s="11" t="str">
        <f>IF(Dataset[[#This Row],[Purchase_Date]]="","",YEAR(Dataset[[#This Row],[Purchase_Date]]))</f>
        <v/>
      </c>
      <c r="M143" s="11" t="str" cm="1">
        <f t="array" ref="M143">_xlfn.IFS(B143&lt;=25, "Young Adults", B143&lt;=35, "Emerging Professionals", B143&lt;=50, "Established Adults", TRUE, "Mature Customers")</f>
        <v>Established Adults</v>
      </c>
      <c r="N143" s="11" t="str">
        <f>IF(Dataset[[#This Row],[Total_Spent (€)]]&lt;10,"Low Spender",IF(Dataset[[#This Row],[Total_Spent (€)]]&lt;25,"Medium Spender","High Spender"))</f>
        <v>Low Spender</v>
      </c>
    </row>
    <row r="144" spans="1:14" x14ac:dyDescent="0.2">
      <c r="A144" s="14" t="s">
        <v>656</v>
      </c>
      <c r="B144" s="11">
        <v>46</v>
      </c>
      <c r="C144" s="11" t="s">
        <v>20</v>
      </c>
      <c r="D144" s="11"/>
      <c r="F144" s="11" t="s">
        <v>655</v>
      </c>
      <c r="G144" s="11">
        <v>0</v>
      </c>
      <c r="H144" s="11">
        <v>4.32</v>
      </c>
      <c r="I144" s="11" t="str">
        <f>TEXT(Dataset[[#This Row],[Purchase_Date]],"[$-409]mmmm")</f>
        <v>January</v>
      </c>
      <c r="J144" s="12">
        <f>MONTH(Dataset[[#This Row],[Purchase_Date]])</f>
        <v>1</v>
      </c>
      <c r="K144" s="13" t="str">
        <f>TEXT(Dataset[[#This Row],[Purchase_Date]],"mm - [$-409]mmmm")</f>
        <v>01 - January</v>
      </c>
      <c r="L144" s="11" t="str">
        <f>IF(Dataset[[#This Row],[Purchase_Date]]="","",YEAR(Dataset[[#This Row],[Purchase_Date]]))</f>
        <v/>
      </c>
      <c r="M144" s="11" t="str" cm="1">
        <f t="array" ref="M144">_xlfn.IFS(B144&lt;=25, "Young Adults", B144&lt;=35, "Emerging Professionals", B144&lt;=50, "Established Adults", TRUE, "Mature Customers")</f>
        <v>Established Adults</v>
      </c>
      <c r="N144" s="11" t="str">
        <f>IF(Dataset[[#This Row],[Total_Spent (€)]]&lt;10,"Low Spender",IF(Dataset[[#This Row],[Total_Spent (€)]]&lt;25,"Medium Spender","High Spender"))</f>
        <v>Low Spender</v>
      </c>
    </row>
    <row r="145" spans="1:14" x14ac:dyDescent="0.2">
      <c r="A145" s="14" t="s">
        <v>654</v>
      </c>
      <c r="B145" s="11">
        <v>26</v>
      </c>
      <c r="C145" s="11" t="s">
        <v>43</v>
      </c>
      <c r="D145" s="11">
        <v>24.22</v>
      </c>
      <c r="E145" s="11" t="s">
        <v>286</v>
      </c>
      <c r="F145" s="11" t="s">
        <v>336</v>
      </c>
      <c r="G145" s="11">
        <v>1</v>
      </c>
      <c r="H145" s="11">
        <v>6.95</v>
      </c>
      <c r="I145" s="11" t="str">
        <f>TEXT(Dataset[[#This Row],[Purchase_Date]],"[$-409]mmmm")</f>
        <v>February</v>
      </c>
      <c r="J145" s="12">
        <f>MONTH(Dataset[[#This Row],[Purchase_Date]])</f>
        <v>2</v>
      </c>
      <c r="K145" s="13" t="str">
        <f>TEXT(Dataset[[#This Row],[Purchase_Date]],"mm - [$-409]mmmm")</f>
        <v>02 - February</v>
      </c>
      <c r="L145" s="11">
        <f>IF(Dataset[[#This Row],[Purchase_Date]]="","",YEAR(Dataset[[#This Row],[Purchase_Date]]))</f>
        <v>2025</v>
      </c>
      <c r="M145" s="11" t="str" cm="1">
        <f t="array" ref="M145">_xlfn.IFS(B145&lt;=25, "Young Adults", B145&lt;=35, "Emerging Professionals", B145&lt;=50, "Established Adults", TRUE, "Mature Customers")</f>
        <v>Emerging Professionals</v>
      </c>
      <c r="N145" s="11" t="str">
        <f>IF(Dataset[[#This Row],[Total_Spent (€)]]&lt;10,"Low Spender",IF(Dataset[[#This Row],[Total_Spent (€)]]&lt;25,"Medium Spender","High Spender"))</f>
        <v>Medium Spender</v>
      </c>
    </row>
    <row r="146" spans="1:14" x14ac:dyDescent="0.2">
      <c r="A146" s="14" t="s">
        <v>653</v>
      </c>
      <c r="B146" s="11">
        <v>32</v>
      </c>
      <c r="C146" s="11" t="s">
        <v>61</v>
      </c>
      <c r="D146" s="11">
        <v>10.19</v>
      </c>
      <c r="E146" s="11" t="s">
        <v>214</v>
      </c>
      <c r="F146" s="11" t="s">
        <v>652</v>
      </c>
      <c r="G146" s="11">
        <v>1</v>
      </c>
      <c r="H146" s="11">
        <v>6.31</v>
      </c>
      <c r="I146" s="11" t="str">
        <f>TEXT(Dataset[[#This Row],[Purchase_Date]],"[$-409]mmmm")</f>
        <v>January</v>
      </c>
      <c r="J146" s="12">
        <f>MONTH(Dataset[[#This Row],[Purchase_Date]])</f>
        <v>1</v>
      </c>
      <c r="K146" s="13" t="str">
        <f>TEXT(Dataset[[#This Row],[Purchase_Date]],"mm - [$-409]mmmm")</f>
        <v>01 - January</v>
      </c>
      <c r="L146" s="11">
        <f>IF(Dataset[[#This Row],[Purchase_Date]]="","",YEAR(Dataset[[#This Row],[Purchase_Date]]))</f>
        <v>2025</v>
      </c>
      <c r="M146" s="11" t="str" cm="1">
        <f t="array" ref="M146">_xlfn.IFS(B146&lt;=25, "Young Adults", B146&lt;=35, "Emerging Professionals", B146&lt;=50, "Established Adults", TRUE, "Mature Customers")</f>
        <v>Emerging Professionals</v>
      </c>
      <c r="N146" s="11" t="str">
        <f>IF(Dataset[[#This Row],[Total_Spent (€)]]&lt;10,"Low Spender",IF(Dataset[[#This Row],[Total_Spent (€)]]&lt;25,"Medium Spender","High Spender"))</f>
        <v>Medium Spender</v>
      </c>
    </row>
    <row r="147" spans="1:14" x14ac:dyDescent="0.2">
      <c r="A147" s="14" t="s">
        <v>651</v>
      </c>
      <c r="B147" s="11">
        <v>20</v>
      </c>
      <c r="C147" s="11" t="s">
        <v>847</v>
      </c>
      <c r="D147" s="11"/>
      <c r="F147" s="11" t="s">
        <v>650</v>
      </c>
      <c r="G147" s="11">
        <v>0</v>
      </c>
      <c r="H147" s="11">
        <v>4.92</v>
      </c>
      <c r="I147" s="11" t="str">
        <f>TEXT(Dataset[[#This Row],[Purchase_Date]],"[$-409]mmmm")</f>
        <v>January</v>
      </c>
      <c r="J147" s="12">
        <f>MONTH(Dataset[[#This Row],[Purchase_Date]])</f>
        <v>1</v>
      </c>
      <c r="K147" s="13" t="str">
        <f>TEXT(Dataset[[#This Row],[Purchase_Date]],"mm - [$-409]mmmm")</f>
        <v>01 - January</v>
      </c>
      <c r="L147" s="11" t="str">
        <f>IF(Dataset[[#This Row],[Purchase_Date]]="","",YEAR(Dataset[[#This Row],[Purchase_Date]]))</f>
        <v/>
      </c>
      <c r="M147" s="11" t="str" cm="1">
        <f t="array" ref="M147">_xlfn.IFS(B147&lt;=25, "Young Adults", B147&lt;=35, "Emerging Professionals", B147&lt;=50, "Established Adults", TRUE, "Mature Customers")</f>
        <v>Young Adults</v>
      </c>
      <c r="N147" s="11" t="str">
        <f>IF(Dataset[[#This Row],[Total_Spent (€)]]&lt;10,"Low Spender",IF(Dataset[[#This Row],[Total_Spent (€)]]&lt;25,"Medium Spender","High Spender"))</f>
        <v>Low Spender</v>
      </c>
    </row>
    <row r="148" spans="1:14" x14ac:dyDescent="0.2">
      <c r="A148" s="14" t="s">
        <v>649</v>
      </c>
      <c r="B148" s="11">
        <v>31</v>
      </c>
      <c r="C148" s="11" t="s">
        <v>13</v>
      </c>
      <c r="D148" s="11">
        <v>16.43</v>
      </c>
      <c r="E148" s="11" t="s">
        <v>440</v>
      </c>
      <c r="F148" s="11" t="s">
        <v>648</v>
      </c>
      <c r="G148" s="11">
        <v>1</v>
      </c>
      <c r="H148" s="11">
        <v>7.64</v>
      </c>
      <c r="I148" s="11" t="str">
        <f>TEXT(Dataset[[#This Row],[Purchase_Date]],"[$-409]mmmm")</f>
        <v>November</v>
      </c>
      <c r="J148" s="12">
        <f>MONTH(Dataset[[#This Row],[Purchase_Date]])</f>
        <v>11</v>
      </c>
      <c r="K148" s="13" t="str">
        <f>TEXT(Dataset[[#This Row],[Purchase_Date]],"mm - [$-409]mmmm")</f>
        <v>11 - November</v>
      </c>
      <c r="L148" s="11">
        <f>IF(Dataset[[#This Row],[Purchase_Date]]="","",YEAR(Dataset[[#This Row],[Purchase_Date]]))</f>
        <v>2024</v>
      </c>
      <c r="M148" s="11" t="str" cm="1">
        <f t="array" ref="M148">_xlfn.IFS(B148&lt;=25, "Young Adults", B148&lt;=35, "Emerging Professionals", B148&lt;=50, "Established Adults", TRUE, "Mature Customers")</f>
        <v>Emerging Professionals</v>
      </c>
      <c r="N148" s="11" t="str">
        <f>IF(Dataset[[#This Row],[Total_Spent (€)]]&lt;10,"Low Spender",IF(Dataset[[#This Row],[Total_Spent (€)]]&lt;25,"Medium Spender","High Spender"))</f>
        <v>Medium Spender</v>
      </c>
    </row>
    <row r="149" spans="1:14" x14ac:dyDescent="0.2">
      <c r="A149" s="14" t="s">
        <v>647</v>
      </c>
      <c r="B149" s="11">
        <v>41</v>
      </c>
      <c r="C149" s="11" t="s">
        <v>843</v>
      </c>
      <c r="D149" s="11"/>
      <c r="F149" s="11" t="s">
        <v>16</v>
      </c>
      <c r="G149" s="11">
        <v>0</v>
      </c>
      <c r="H149" s="11">
        <v>9.5399999999999991</v>
      </c>
      <c r="I149" s="11" t="str">
        <f>TEXT(Dataset[[#This Row],[Purchase_Date]],"[$-409]mmmm")</f>
        <v>January</v>
      </c>
      <c r="J149" s="12">
        <f>MONTH(Dataset[[#This Row],[Purchase_Date]])</f>
        <v>1</v>
      </c>
      <c r="K149" s="13" t="str">
        <f>TEXT(Dataset[[#This Row],[Purchase_Date]],"mm - [$-409]mmmm")</f>
        <v>01 - January</v>
      </c>
      <c r="L149" s="11" t="str">
        <f>IF(Dataset[[#This Row],[Purchase_Date]]="","",YEAR(Dataset[[#This Row],[Purchase_Date]]))</f>
        <v/>
      </c>
      <c r="M149" s="11" t="str" cm="1">
        <f t="array" ref="M149">_xlfn.IFS(B149&lt;=25, "Young Adults", B149&lt;=35, "Emerging Professionals", B149&lt;=50, "Established Adults", TRUE, "Mature Customers")</f>
        <v>Established Adults</v>
      </c>
      <c r="N149" s="11" t="str">
        <f>IF(Dataset[[#This Row],[Total_Spent (€)]]&lt;10,"Low Spender",IF(Dataset[[#This Row],[Total_Spent (€)]]&lt;25,"Medium Spender","High Spender"))</f>
        <v>Low Spender</v>
      </c>
    </row>
    <row r="150" spans="1:14" x14ac:dyDescent="0.2">
      <c r="A150" s="14" t="s">
        <v>646</v>
      </c>
      <c r="B150" s="11">
        <v>24</v>
      </c>
      <c r="C150" s="11" t="s">
        <v>20</v>
      </c>
      <c r="D150" s="11">
        <v>23.87</v>
      </c>
      <c r="E150" s="11" t="s">
        <v>210</v>
      </c>
      <c r="F150" s="11" t="s">
        <v>246</v>
      </c>
      <c r="G150" s="11">
        <v>1</v>
      </c>
      <c r="H150" s="11">
        <v>5.03</v>
      </c>
      <c r="I150" s="11" t="str">
        <f>TEXT(Dataset[[#This Row],[Purchase_Date]],"[$-409]mmmm")</f>
        <v>April</v>
      </c>
      <c r="J150" s="12">
        <f>MONTH(Dataset[[#This Row],[Purchase_Date]])</f>
        <v>4</v>
      </c>
      <c r="K150" s="13" t="str">
        <f>TEXT(Dataset[[#This Row],[Purchase_Date]],"mm - [$-409]mmmm")</f>
        <v>04 - April</v>
      </c>
      <c r="L150" s="11">
        <f>IF(Dataset[[#This Row],[Purchase_Date]]="","",YEAR(Dataset[[#This Row],[Purchase_Date]]))</f>
        <v>2025</v>
      </c>
      <c r="M150" s="11" t="str" cm="1">
        <f t="array" ref="M150">_xlfn.IFS(B150&lt;=25, "Young Adults", B150&lt;=35, "Emerging Professionals", B150&lt;=50, "Established Adults", TRUE, "Mature Customers")</f>
        <v>Young Adults</v>
      </c>
      <c r="N150" s="11" t="str">
        <f>IF(Dataset[[#This Row],[Total_Spent (€)]]&lt;10,"Low Spender",IF(Dataset[[#This Row],[Total_Spent (€)]]&lt;25,"Medium Spender","High Spender"))</f>
        <v>Medium Spender</v>
      </c>
    </row>
    <row r="151" spans="1:14" x14ac:dyDescent="0.2">
      <c r="A151" s="14" t="s">
        <v>645</v>
      </c>
      <c r="B151" s="11">
        <v>26</v>
      </c>
      <c r="C151" s="11" t="s">
        <v>75</v>
      </c>
      <c r="D151" s="11"/>
      <c r="F151" s="11" t="s">
        <v>106</v>
      </c>
      <c r="G151" s="11">
        <v>0</v>
      </c>
      <c r="H151" s="11">
        <v>8.2899999999999991</v>
      </c>
      <c r="I151" s="11" t="str">
        <f>TEXT(Dataset[[#This Row],[Purchase_Date]],"[$-409]mmmm")</f>
        <v>January</v>
      </c>
      <c r="J151" s="12">
        <f>MONTH(Dataset[[#This Row],[Purchase_Date]])</f>
        <v>1</v>
      </c>
      <c r="K151" s="13" t="str">
        <f>TEXT(Dataset[[#This Row],[Purchase_Date]],"mm - [$-409]mmmm")</f>
        <v>01 - January</v>
      </c>
      <c r="L151" s="11" t="str">
        <f>IF(Dataset[[#This Row],[Purchase_Date]]="","",YEAR(Dataset[[#This Row],[Purchase_Date]]))</f>
        <v/>
      </c>
      <c r="M151" s="11" t="str" cm="1">
        <f t="array" ref="M151">_xlfn.IFS(B151&lt;=25, "Young Adults", B151&lt;=35, "Emerging Professionals", B151&lt;=50, "Established Adults", TRUE, "Mature Customers")</f>
        <v>Emerging Professionals</v>
      </c>
      <c r="N151" s="11" t="str">
        <f>IF(Dataset[[#This Row],[Total_Spent (€)]]&lt;10,"Low Spender",IF(Dataset[[#This Row],[Total_Spent (€)]]&lt;25,"Medium Spender","High Spender"))</f>
        <v>Low Spender</v>
      </c>
    </row>
    <row r="152" spans="1:14" x14ac:dyDescent="0.2">
      <c r="A152" s="14" t="s">
        <v>644</v>
      </c>
      <c r="B152" s="11">
        <v>41</v>
      </c>
      <c r="C152" s="11" t="s">
        <v>20</v>
      </c>
      <c r="D152" s="11">
        <v>19.149999999999999</v>
      </c>
      <c r="E152" s="11" t="s">
        <v>8</v>
      </c>
      <c r="F152" s="11" t="s">
        <v>643</v>
      </c>
      <c r="G152" s="11">
        <v>1</v>
      </c>
      <c r="H152" s="11">
        <v>2.0699999999999998</v>
      </c>
      <c r="I152" s="11" t="str">
        <f>TEXT(Dataset[[#This Row],[Purchase_Date]],"[$-409]mmmm")</f>
        <v>April</v>
      </c>
      <c r="J152" s="12">
        <f>MONTH(Dataset[[#This Row],[Purchase_Date]])</f>
        <v>4</v>
      </c>
      <c r="K152" s="13" t="str">
        <f>TEXT(Dataset[[#This Row],[Purchase_Date]],"mm - [$-409]mmmm")</f>
        <v>04 - April</v>
      </c>
      <c r="L152" s="11">
        <f>IF(Dataset[[#This Row],[Purchase_Date]]="","",YEAR(Dataset[[#This Row],[Purchase_Date]]))</f>
        <v>2025</v>
      </c>
      <c r="M152" s="11" t="str" cm="1">
        <f t="array" ref="M152">_xlfn.IFS(B152&lt;=25, "Young Adults", B152&lt;=35, "Emerging Professionals", B152&lt;=50, "Established Adults", TRUE, "Mature Customers")</f>
        <v>Established Adults</v>
      </c>
      <c r="N152" s="11" t="str">
        <f>IF(Dataset[[#This Row],[Total_Spent (€)]]&lt;10,"Low Spender",IF(Dataset[[#This Row],[Total_Spent (€)]]&lt;25,"Medium Spender","High Spender"))</f>
        <v>Medium Spender</v>
      </c>
    </row>
    <row r="153" spans="1:14" x14ac:dyDescent="0.2">
      <c r="A153" s="14" t="s">
        <v>642</v>
      </c>
      <c r="B153" s="11">
        <v>37</v>
      </c>
      <c r="C153" s="11" t="s">
        <v>840</v>
      </c>
      <c r="D153" s="11">
        <v>35.43</v>
      </c>
      <c r="E153" s="11" t="s">
        <v>438</v>
      </c>
      <c r="F153" s="11" t="s">
        <v>60</v>
      </c>
      <c r="G153" s="11">
        <v>1</v>
      </c>
      <c r="H153" s="11">
        <v>4.88</v>
      </c>
      <c r="I153" s="11" t="str">
        <f>TEXT(Dataset[[#This Row],[Purchase_Date]],"[$-409]mmmm")</f>
        <v>September</v>
      </c>
      <c r="J153" s="12">
        <f>MONTH(Dataset[[#This Row],[Purchase_Date]])</f>
        <v>9</v>
      </c>
      <c r="K153" s="13" t="str">
        <f>TEXT(Dataset[[#This Row],[Purchase_Date]],"mm - [$-409]mmmm")</f>
        <v>09 - September</v>
      </c>
      <c r="L153" s="11">
        <f>IF(Dataset[[#This Row],[Purchase_Date]]="","",YEAR(Dataset[[#This Row],[Purchase_Date]]))</f>
        <v>2024</v>
      </c>
      <c r="M153" s="11" t="str" cm="1">
        <f t="array" ref="M153">_xlfn.IFS(B153&lt;=25, "Young Adults", B153&lt;=35, "Emerging Professionals", B153&lt;=50, "Established Adults", TRUE, "Mature Customers")</f>
        <v>Established Adults</v>
      </c>
      <c r="N153" s="11" t="str">
        <f>IF(Dataset[[#This Row],[Total_Spent (€)]]&lt;10,"Low Spender",IF(Dataset[[#This Row],[Total_Spent (€)]]&lt;25,"Medium Spender","High Spender"))</f>
        <v>High Spender</v>
      </c>
    </row>
    <row r="154" spans="1:14" x14ac:dyDescent="0.2">
      <c r="A154" s="14" t="s">
        <v>641</v>
      </c>
      <c r="B154" s="11">
        <v>53</v>
      </c>
      <c r="C154" s="11" t="s">
        <v>842</v>
      </c>
      <c r="D154" s="11">
        <v>9.2100000000000009</v>
      </c>
      <c r="E154" s="11" t="s">
        <v>12</v>
      </c>
      <c r="F154" s="11" t="s">
        <v>640</v>
      </c>
      <c r="G154" s="11">
        <v>1</v>
      </c>
      <c r="H154" s="11">
        <v>2.59</v>
      </c>
      <c r="I154" s="11" t="str">
        <f>TEXT(Dataset[[#This Row],[Purchase_Date]],"[$-409]mmmm")</f>
        <v>November</v>
      </c>
      <c r="J154" s="12">
        <f>MONTH(Dataset[[#This Row],[Purchase_Date]])</f>
        <v>11</v>
      </c>
      <c r="K154" s="13" t="str">
        <f>TEXT(Dataset[[#This Row],[Purchase_Date]],"mm - [$-409]mmmm")</f>
        <v>11 - November</v>
      </c>
      <c r="L154" s="11">
        <f>IF(Dataset[[#This Row],[Purchase_Date]]="","",YEAR(Dataset[[#This Row],[Purchase_Date]]))</f>
        <v>2024</v>
      </c>
      <c r="M154" s="11" t="str" cm="1">
        <f t="array" ref="M154">_xlfn.IFS(B154&lt;=25, "Young Adults", B154&lt;=35, "Emerging Professionals", B154&lt;=50, "Established Adults", TRUE, "Mature Customers")</f>
        <v>Mature Customers</v>
      </c>
      <c r="N154" s="11" t="str">
        <f>IF(Dataset[[#This Row],[Total_Spent (€)]]&lt;10,"Low Spender",IF(Dataset[[#This Row],[Total_Spent (€)]]&lt;25,"Medium Spender","High Spender"))</f>
        <v>Low Spender</v>
      </c>
    </row>
    <row r="155" spans="1:14" x14ac:dyDescent="0.2">
      <c r="A155" s="14" t="s">
        <v>639</v>
      </c>
      <c r="B155" s="11">
        <v>20</v>
      </c>
      <c r="C155" s="11" t="s">
        <v>842</v>
      </c>
      <c r="D155" s="11">
        <v>24.34</v>
      </c>
      <c r="E155" s="11" t="s">
        <v>210</v>
      </c>
      <c r="F155" s="11" t="s">
        <v>271</v>
      </c>
      <c r="G155" s="11">
        <v>1</v>
      </c>
      <c r="H155" s="11">
        <v>7.57</v>
      </c>
      <c r="I155" s="11" t="str">
        <f>TEXT(Dataset[[#This Row],[Purchase_Date]],"[$-409]mmmm")</f>
        <v>April</v>
      </c>
      <c r="J155" s="12">
        <f>MONTH(Dataset[[#This Row],[Purchase_Date]])</f>
        <v>4</v>
      </c>
      <c r="K155" s="13" t="str">
        <f>TEXT(Dataset[[#This Row],[Purchase_Date]],"mm - [$-409]mmmm")</f>
        <v>04 - April</v>
      </c>
      <c r="L155" s="11">
        <f>IF(Dataset[[#This Row],[Purchase_Date]]="","",YEAR(Dataset[[#This Row],[Purchase_Date]]))</f>
        <v>2025</v>
      </c>
      <c r="M155" s="11" t="str" cm="1">
        <f t="array" ref="M155">_xlfn.IFS(B155&lt;=25, "Young Adults", B155&lt;=35, "Emerging Professionals", B155&lt;=50, "Established Adults", TRUE, "Mature Customers")</f>
        <v>Young Adults</v>
      </c>
      <c r="N155" s="11" t="str">
        <f>IF(Dataset[[#This Row],[Total_Spent (€)]]&lt;10,"Low Spender",IF(Dataset[[#This Row],[Total_Spent (€)]]&lt;25,"Medium Spender","High Spender"))</f>
        <v>Medium Spender</v>
      </c>
    </row>
    <row r="156" spans="1:14" x14ac:dyDescent="0.2">
      <c r="A156" s="14" t="s">
        <v>638</v>
      </c>
      <c r="B156" s="11">
        <v>42</v>
      </c>
      <c r="C156" s="11" t="s">
        <v>842</v>
      </c>
      <c r="D156" s="11"/>
      <c r="F156" s="11" t="s">
        <v>195</v>
      </c>
      <c r="G156" s="11">
        <v>0</v>
      </c>
      <c r="H156" s="11">
        <v>5.21</v>
      </c>
      <c r="I156" s="11" t="str">
        <f>TEXT(Dataset[[#This Row],[Purchase_Date]],"[$-409]mmmm")</f>
        <v>January</v>
      </c>
      <c r="J156" s="12">
        <f>MONTH(Dataset[[#This Row],[Purchase_Date]])</f>
        <v>1</v>
      </c>
      <c r="K156" s="13" t="str">
        <f>TEXT(Dataset[[#This Row],[Purchase_Date]],"mm - [$-409]mmmm")</f>
        <v>01 - January</v>
      </c>
      <c r="L156" s="11" t="str">
        <f>IF(Dataset[[#This Row],[Purchase_Date]]="","",YEAR(Dataset[[#This Row],[Purchase_Date]]))</f>
        <v/>
      </c>
      <c r="M156" s="11" t="str" cm="1">
        <f t="array" ref="M156">_xlfn.IFS(B156&lt;=25, "Young Adults", B156&lt;=35, "Emerging Professionals", B156&lt;=50, "Established Adults", TRUE, "Mature Customers")</f>
        <v>Established Adults</v>
      </c>
      <c r="N156" s="11" t="str">
        <f>IF(Dataset[[#This Row],[Total_Spent (€)]]&lt;10,"Low Spender",IF(Dataset[[#This Row],[Total_Spent (€)]]&lt;25,"Medium Spender","High Spender"))</f>
        <v>Low Spender</v>
      </c>
    </row>
    <row r="157" spans="1:14" x14ac:dyDescent="0.2">
      <c r="A157" s="14" t="s">
        <v>637</v>
      </c>
      <c r="B157" s="11">
        <v>29</v>
      </c>
      <c r="C157" s="11" t="s">
        <v>17</v>
      </c>
      <c r="D157" s="11"/>
      <c r="F157" s="11" t="s">
        <v>106</v>
      </c>
      <c r="G157" s="11">
        <v>0</v>
      </c>
      <c r="H157" s="11">
        <v>9.08</v>
      </c>
      <c r="I157" s="11" t="str">
        <f>TEXT(Dataset[[#This Row],[Purchase_Date]],"[$-409]mmmm")</f>
        <v>January</v>
      </c>
      <c r="J157" s="12">
        <f>MONTH(Dataset[[#This Row],[Purchase_Date]])</f>
        <v>1</v>
      </c>
      <c r="K157" s="13" t="str">
        <f>TEXT(Dataset[[#This Row],[Purchase_Date]],"mm - [$-409]mmmm")</f>
        <v>01 - January</v>
      </c>
      <c r="L157" s="11" t="str">
        <f>IF(Dataset[[#This Row],[Purchase_Date]]="","",YEAR(Dataset[[#This Row],[Purchase_Date]]))</f>
        <v/>
      </c>
      <c r="M157" s="11" t="str" cm="1">
        <f t="array" ref="M157">_xlfn.IFS(B157&lt;=25, "Young Adults", B157&lt;=35, "Emerging Professionals", B157&lt;=50, "Established Adults", TRUE, "Mature Customers")</f>
        <v>Emerging Professionals</v>
      </c>
      <c r="N157" s="11" t="str">
        <f>IF(Dataset[[#This Row],[Total_Spent (€)]]&lt;10,"Low Spender",IF(Dataset[[#This Row],[Total_Spent (€)]]&lt;25,"Medium Spender","High Spender"))</f>
        <v>Low Spender</v>
      </c>
    </row>
    <row r="158" spans="1:14" x14ac:dyDescent="0.2">
      <c r="A158" s="14" t="s">
        <v>636</v>
      </c>
      <c r="B158" s="11">
        <v>38</v>
      </c>
      <c r="C158" s="11" t="s">
        <v>844</v>
      </c>
      <c r="D158" s="11"/>
      <c r="F158" s="11" t="s">
        <v>308</v>
      </c>
      <c r="G158" s="11">
        <v>0</v>
      </c>
      <c r="H158" s="11">
        <v>7.17</v>
      </c>
      <c r="I158" s="11" t="str">
        <f>TEXT(Dataset[[#This Row],[Purchase_Date]],"[$-409]mmmm")</f>
        <v>January</v>
      </c>
      <c r="J158" s="12">
        <f>MONTH(Dataset[[#This Row],[Purchase_Date]])</f>
        <v>1</v>
      </c>
      <c r="K158" s="13" t="str">
        <f>TEXT(Dataset[[#This Row],[Purchase_Date]],"mm - [$-409]mmmm")</f>
        <v>01 - January</v>
      </c>
      <c r="L158" s="11" t="str">
        <f>IF(Dataset[[#This Row],[Purchase_Date]]="","",YEAR(Dataset[[#This Row],[Purchase_Date]]))</f>
        <v/>
      </c>
      <c r="M158" s="11" t="str" cm="1">
        <f t="array" ref="M158">_xlfn.IFS(B158&lt;=25, "Young Adults", B158&lt;=35, "Emerging Professionals", B158&lt;=50, "Established Adults", TRUE, "Mature Customers")</f>
        <v>Established Adults</v>
      </c>
      <c r="N158" s="11" t="str">
        <f>IF(Dataset[[#This Row],[Total_Spent (€)]]&lt;10,"Low Spender",IF(Dataset[[#This Row],[Total_Spent (€)]]&lt;25,"Medium Spender","High Spender"))</f>
        <v>Low Spender</v>
      </c>
    </row>
    <row r="159" spans="1:14" x14ac:dyDescent="0.2">
      <c r="A159" s="14" t="s">
        <v>635</v>
      </c>
      <c r="B159" s="11">
        <v>23</v>
      </c>
      <c r="C159" s="11" t="s">
        <v>86</v>
      </c>
      <c r="D159" s="11"/>
      <c r="F159" s="11" t="s">
        <v>351</v>
      </c>
      <c r="G159" s="11">
        <v>0</v>
      </c>
      <c r="H159" s="11">
        <v>4.01</v>
      </c>
      <c r="I159" s="11" t="str">
        <f>TEXT(Dataset[[#This Row],[Purchase_Date]],"[$-409]mmmm")</f>
        <v>January</v>
      </c>
      <c r="J159" s="12">
        <f>MONTH(Dataset[[#This Row],[Purchase_Date]])</f>
        <v>1</v>
      </c>
      <c r="K159" s="13" t="str">
        <f>TEXT(Dataset[[#This Row],[Purchase_Date]],"mm - [$-409]mmmm")</f>
        <v>01 - January</v>
      </c>
      <c r="L159" s="11" t="str">
        <f>IF(Dataset[[#This Row],[Purchase_Date]]="","",YEAR(Dataset[[#This Row],[Purchase_Date]]))</f>
        <v/>
      </c>
      <c r="M159" s="11" t="str" cm="1">
        <f t="array" ref="M159">_xlfn.IFS(B159&lt;=25, "Young Adults", B159&lt;=35, "Emerging Professionals", B159&lt;=50, "Established Adults", TRUE, "Mature Customers")</f>
        <v>Young Adults</v>
      </c>
      <c r="N159" s="11" t="str">
        <f>IF(Dataset[[#This Row],[Total_Spent (€)]]&lt;10,"Low Spender",IF(Dataset[[#This Row],[Total_Spent (€)]]&lt;25,"Medium Spender","High Spender"))</f>
        <v>Low Spender</v>
      </c>
    </row>
    <row r="160" spans="1:14" x14ac:dyDescent="0.2">
      <c r="A160" s="14" t="s">
        <v>634</v>
      </c>
      <c r="B160" s="11">
        <v>22</v>
      </c>
      <c r="C160" s="11" t="s">
        <v>30</v>
      </c>
      <c r="D160" s="11">
        <v>15.55</v>
      </c>
      <c r="E160" s="11" t="s">
        <v>328</v>
      </c>
      <c r="F160" s="11" t="s">
        <v>139</v>
      </c>
      <c r="G160" s="11">
        <v>1</v>
      </c>
      <c r="H160" s="11">
        <v>9.5399999999999991</v>
      </c>
      <c r="I160" s="11" t="str">
        <f>TEXT(Dataset[[#This Row],[Purchase_Date]],"[$-409]mmmm")</f>
        <v>November</v>
      </c>
      <c r="J160" s="12">
        <f>MONTH(Dataset[[#This Row],[Purchase_Date]])</f>
        <v>11</v>
      </c>
      <c r="K160" s="13" t="str">
        <f>TEXT(Dataset[[#This Row],[Purchase_Date]],"mm - [$-409]mmmm")</f>
        <v>11 - November</v>
      </c>
      <c r="L160" s="11">
        <f>IF(Dataset[[#This Row],[Purchase_Date]]="","",YEAR(Dataset[[#This Row],[Purchase_Date]]))</f>
        <v>2024</v>
      </c>
      <c r="M160" s="11" t="str" cm="1">
        <f t="array" ref="M160">_xlfn.IFS(B160&lt;=25, "Young Adults", B160&lt;=35, "Emerging Professionals", B160&lt;=50, "Established Adults", TRUE, "Mature Customers")</f>
        <v>Young Adults</v>
      </c>
      <c r="N160" s="11" t="str">
        <f>IF(Dataset[[#This Row],[Total_Spent (€)]]&lt;10,"Low Spender",IF(Dataset[[#This Row],[Total_Spent (€)]]&lt;25,"Medium Spender","High Spender"))</f>
        <v>Medium Spender</v>
      </c>
    </row>
    <row r="161" spans="1:14" x14ac:dyDescent="0.2">
      <c r="A161" s="14" t="s">
        <v>633</v>
      </c>
      <c r="B161" s="11">
        <v>26</v>
      </c>
      <c r="C161" s="11" t="s">
        <v>75</v>
      </c>
      <c r="D161" s="11">
        <v>19.07</v>
      </c>
      <c r="E161" s="11" t="s">
        <v>207</v>
      </c>
      <c r="F161" s="11" t="s">
        <v>632</v>
      </c>
      <c r="G161" s="11">
        <v>1</v>
      </c>
      <c r="H161" s="11">
        <v>3.1</v>
      </c>
      <c r="I161" s="11" t="str">
        <f>TEXT(Dataset[[#This Row],[Purchase_Date]],"[$-409]mmmm")</f>
        <v>May</v>
      </c>
      <c r="J161" s="12">
        <f>MONTH(Dataset[[#This Row],[Purchase_Date]])</f>
        <v>5</v>
      </c>
      <c r="K161" s="13" t="str">
        <f>TEXT(Dataset[[#This Row],[Purchase_Date]],"mm - [$-409]mmmm")</f>
        <v>05 - May</v>
      </c>
      <c r="L161" s="11">
        <f>IF(Dataset[[#This Row],[Purchase_Date]]="","",YEAR(Dataset[[#This Row],[Purchase_Date]]))</f>
        <v>2025</v>
      </c>
      <c r="M161" s="11" t="str" cm="1">
        <f t="array" ref="M161">_xlfn.IFS(B161&lt;=25, "Young Adults", B161&lt;=35, "Emerging Professionals", B161&lt;=50, "Established Adults", TRUE, "Mature Customers")</f>
        <v>Emerging Professionals</v>
      </c>
      <c r="N161" s="11" t="str">
        <f>IF(Dataset[[#This Row],[Total_Spent (€)]]&lt;10,"Low Spender",IF(Dataset[[#This Row],[Total_Spent (€)]]&lt;25,"Medium Spender","High Spender"))</f>
        <v>Medium Spender</v>
      </c>
    </row>
    <row r="162" spans="1:14" x14ac:dyDescent="0.2">
      <c r="A162" s="14" t="s">
        <v>631</v>
      </c>
      <c r="B162" s="11">
        <v>35</v>
      </c>
      <c r="C162" s="11" t="s">
        <v>841</v>
      </c>
      <c r="D162" s="11">
        <v>22.42</v>
      </c>
      <c r="E162" s="11" t="s">
        <v>460</v>
      </c>
      <c r="F162" s="11" t="s">
        <v>630</v>
      </c>
      <c r="G162" s="11">
        <v>1</v>
      </c>
      <c r="H162" s="11">
        <v>2.56</v>
      </c>
      <c r="I162" s="11" t="str">
        <f>TEXT(Dataset[[#This Row],[Purchase_Date]],"[$-409]mmmm")</f>
        <v>August</v>
      </c>
      <c r="J162" s="12">
        <f>MONTH(Dataset[[#This Row],[Purchase_Date]])</f>
        <v>8</v>
      </c>
      <c r="K162" s="13" t="str">
        <f>TEXT(Dataset[[#This Row],[Purchase_Date]],"mm - [$-409]mmmm")</f>
        <v>08 - August</v>
      </c>
      <c r="L162" s="11">
        <f>IF(Dataset[[#This Row],[Purchase_Date]]="","",YEAR(Dataset[[#This Row],[Purchase_Date]]))</f>
        <v>2024</v>
      </c>
      <c r="M162" s="11" t="str" cm="1">
        <f t="array" ref="M162">_xlfn.IFS(B162&lt;=25, "Young Adults", B162&lt;=35, "Emerging Professionals", B162&lt;=50, "Established Adults", TRUE, "Mature Customers")</f>
        <v>Emerging Professionals</v>
      </c>
      <c r="N162" s="11" t="str">
        <f>IF(Dataset[[#This Row],[Total_Spent (€)]]&lt;10,"Low Spender",IF(Dataset[[#This Row],[Total_Spent (€)]]&lt;25,"Medium Spender","High Spender"))</f>
        <v>Medium Spender</v>
      </c>
    </row>
    <row r="163" spans="1:14" x14ac:dyDescent="0.2">
      <c r="A163" s="14" t="s">
        <v>629</v>
      </c>
      <c r="B163" s="11">
        <v>36</v>
      </c>
      <c r="C163" s="11" t="s">
        <v>5</v>
      </c>
      <c r="D163" s="11">
        <v>24.83</v>
      </c>
      <c r="E163" s="11" t="s">
        <v>555</v>
      </c>
      <c r="F163" s="11" t="s">
        <v>628</v>
      </c>
      <c r="G163" s="11">
        <v>1</v>
      </c>
      <c r="H163" s="11">
        <v>3.67</v>
      </c>
      <c r="I163" s="11" t="str">
        <f>TEXT(Dataset[[#This Row],[Purchase_Date]],"[$-409]mmmm")</f>
        <v>October</v>
      </c>
      <c r="J163" s="12">
        <f>MONTH(Dataset[[#This Row],[Purchase_Date]])</f>
        <v>10</v>
      </c>
      <c r="K163" s="13" t="str">
        <f>TEXT(Dataset[[#This Row],[Purchase_Date]],"mm - [$-409]mmmm")</f>
        <v>10 - October</v>
      </c>
      <c r="L163" s="11">
        <f>IF(Dataset[[#This Row],[Purchase_Date]]="","",YEAR(Dataset[[#This Row],[Purchase_Date]]))</f>
        <v>2024</v>
      </c>
      <c r="M163" s="11" t="str" cm="1">
        <f t="array" ref="M163">_xlfn.IFS(B163&lt;=25, "Young Adults", B163&lt;=35, "Emerging Professionals", B163&lt;=50, "Established Adults", TRUE, "Mature Customers")</f>
        <v>Established Adults</v>
      </c>
      <c r="N163" s="11" t="str">
        <f>IF(Dataset[[#This Row],[Total_Spent (€)]]&lt;10,"Low Spender",IF(Dataset[[#This Row],[Total_Spent (€)]]&lt;25,"Medium Spender","High Spender"))</f>
        <v>Medium Spender</v>
      </c>
    </row>
    <row r="164" spans="1:14" x14ac:dyDescent="0.2">
      <c r="A164" s="14" t="s">
        <v>627</v>
      </c>
      <c r="B164" s="11">
        <v>35</v>
      </c>
      <c r="C164" s="11" t="s">
        <v>5</v>
      </c>
      <c r="D164" s="11"/>
      <c r="F164" s="11" t="s">
        <v>626</v>
      </c>
      <c r="G164" s="11">
        <v>0</v>
      </c>
      <c r="H164" s="11">
        <v>9.36</v>
      </c>
      <c r="I164" s="11" t="str">
        <f>TEXT(Dataset[[#This Row],[Purchase_Date]],"[$-409]mmmm")</f>
        <v>January</v>
      </c>
      <c r="J164" s="12">
        <f>MONTH(Dataset[[#This Row],[Purchase_Date]])</f>
        <v>1</v>
      </c>
      <c r="K164" s="13" t="str">
        <f>TEXT(Dataset[[#This Row],[Purchase_Date]],"mm - [$-409]mmmm")</f>
        <v>01 - January</v>
      </c>
      <c r="L164" s="11" t="str">
        <f>IF(Dataset[[#This Row],[Purchase_Date]]="","",YEAR(Dataset[[#This Row],[Purchase_Date]]))</f>
        <v/>
      </c>
      <c r="M164" s="11" t="str" cm="1">
        <f t="array" ref="M164">_xlfn.IFS(B164&lt;=25, "Young Adults", B164&lt;=35, "Emerging Professionals", B164&lt;=50, "Established Adults", TRUE, "Mature Customers")</f>
        <v>Emerging Professionals</v>
      </c>
      <c r="N164" s="11" t="str">
        <f>IF(Dataset[[#This Row],[Total_Spent (€)]]&lt;10,"Low Spender",IF(Dataset[[#This Row],[Total_Spent (€)]]&lt;25,"Medium Spender","High Spender"))</f>
        <v>Low Spender</v>
      </c>
    </row>
    <row r="165" spans="1:14" x14ac:dyDescent="0.2">
      <c r="A165" s="14" t="s">
        <v>625</v>
      </c>
      <c r="B165" s="11">
        <v>43</v>
      </c>
      <c r="C165" s="11" t="s">
        <v>841</v>
      </c>
      <c r="D165" s="11">
        <v>27.93</v>
      </c>
      <c r="E165" s="11" t="s">
        <v>520</v>
      </c>
      <c r="F165" s="11" t="s">
        <v>111</v>
      </c>
      <c r="G165" s="11">
        <v>1</v>
      </c>
      <c r="H165" s="11">
        <v>2.4700000000000002</v>
      </c>
      <c r="I165" s="11" t="str">
        <f>TEXT(Dataset[[#This Row],[Purchase_Date]],"[$-409]mmmm")</f>
        <v>August</v>
      </c>
      <c r="J165" s="12">
        <f>MONTH(Dataset[[#This Row],[Purchase_Date]])</f>
        <v>8</v>
      </c>
      <c r="K165" s="13" t="str">
        <f>TEXT(Dataset[[#This Row],[Purchase_Date]],"mm - [$-409]mmmm")</f>
        <v>08 - August</v>
      </c>
      <c r="L165" s="11">
        <f>IF(Dataset[[#This Row],[Purchase_Date]]="","",YEAR(Dataset[[#This Row],[Purchase_Date]]))</f>
        <v>2024</v>
      </c>
      <c r="M165" s="11" t="str" cm="1">
        <f t="array" ref="M165">_xlfn.IFS(B165&lt;=25, "Young Adults", B165&lt;=35, "Emerging Professionals", B165&lt;=50, "Established Adults", TRUE, "Mature Customers")</f>
        <v>Established Adults</v>
      </c>
      <c r="N165" s="11" t="str">
        <f>IF(Dataset[[#This Row],[Total_Spent (€)]]&lt;10,"Low Spender",IF(Dataset[[#This Row],[Total_Spent (€)]]&lt;25,"Medium Spender","High Spender"))</f>
        <v>High Spender</v>
      </c>
    </row>
    <row r="166" spans="1:14" x14ac:dyDescent="0.2">
      <c r="A166" s="14" t="s">
        <v>624</v>
      </c>
      <c r="B166" s="11">
        <v>53</v>
      </c>
      <c r="C166" s="11" t="s">
        <v>86</v>
      </c>
      <c r="D166" s="11"/>
      <c r="F166" s="11" t="s">
        <v>623</v>
      </c>
      <c r="G166" s="11">
        <v>0</v>
      </c>
      <c r="H166" s="11">
        <v>7.31</v>
      </c>
      <c r="I166" s="11" t="str">
        <f>TEXT(Dataset[[#This Row],[Purchase_Date]],"[$-409]mmmm")</f>
        <v>January</v>
      </c>
      <c r="J166" s="12">
        <f>MONTH(Dataset[[#This Row],[Purchase_Date]])</f>
        <v>1</v>
      </c>
      <c r="K166" s="13" t="str">
        <f>TEXT(Dataset[[#This Row],[Purchase_Date]],"mm - [$-409]mmmm")</f>
        <v>01 - January</v>
      </c>
      <c r="L166" s="11" t="str">
        <f>IF(Dataset[[#This Row],[Purchase_Date]]="","",YEAR(Dataset[[#This Row],[Purchase_Date]]))</f>
        <v/>
      </c>
      <c r="M166" s="11" t="str" cm="1">
        <f t="array" ref="M166">_xlfn.IFS(B166&lt;=25, "Young Adults", B166&lt;=35, "Emerging Professionals", B166&lt;=50, "Established Adults", TRUE, "Mature Customers")</f>
        <v>Mature Customers</v>
      </c>
      <c r="N166" s="11" t="str">
        <f>IF(Dataset[[#This Row],[Total_Spent (€)]]&lt;10,"Low Spender",IF(Dataset[[#This Row],[Total_Spent (€)]]&lt;25,"Medium Spender","High Spender"))</f>
        <v>Low Spender</v>
      </c>
    </row>
    <row r="167" spans="1:14" x14ac:dyDescent="0.2">
      <c r="A167" s="14" t="s">
        <v>622</v>
      </c>
      <c r="B167" s="11">
        <v>42</v>
      </c>
      <c r="C167" s="11" t="s">
        <v>17</v>
      </c>
      <c r="D167" s="11"/>
      <c r="F167" s="11" t="s">
        <v>474</v>
      </c>
      <c r="G167" s="11">
        <v>0</v>
      </c>
      <c r="H167" s="11">
        <v>3.13</v>
      </c>
      <c r="I167" s="11" t="str">
        <f>TEXT(Dataset[[#This Row],[Purchase_Date]],"[$-409]mmmm")</f>
        <v>January</v>
      </c>
      <c r="J167" s="12">
        <f>MONTH(Dataset[[#This Row],[Purchase_Date]])</f>
        <v>1</v>
      </c>
      <c r="K167" s="13" t="str">
        <f>TEXT(Dataset[[#This Row],[Purchase_Date]],"mm - [$-409]mmmm")</f>
        <v>01 - January</v>
      </c>
      <c r="L167" s="11" t="str">
        <f>IF(Dataset[[#This Row],[Purchase_Date]]="","",YEAR(Dataset[[#This Row],[Purchase_Date]]))</f>
        <v/>
      </c>
      <c r="M167" s="11" t="str" cm="1">
        <f t="array" ref="M167">_xlfn.IFS(B167&lt;=25, "Young Adults", B167&lt;=35, "Emerging Professionals", B167&lt;=50, "Established Adults", TRUE, "Mature Customers")</f>
        <v>Established Adults</v>
      </c>
      <c r="N167" s="11" t="str">
        <f>IF(Dataset[[#This Row],[Total_Spent (€)]]&lt;10,"Low Spender",IF(Dataset[[#This Row],[Total_Spent (€)]]&lt;25,"Medium Spender","High Spender"))</f>
        <v>Low Spender</v>
      </c>
    </row>
    <row r="168" spans="1:14" x14ac:dyDescent="0.2">
      <c r="A168" s="14" t="s">
        <v>621</v>
      </c>
      <c r="B168" s="11">
        <v>46</v>
      </c>
      <c r="C168" s="11" t="s">
        <v>75</v>
      </c>
      <c r="D168" s="11"/>
      <c r="F168" s="11" t="s">
        <v>620</v>
      </c>
      <c r="G168" s="11">
        <v>0</v>
      </c>
      <c r="H168" s="11">
        <v>3.15</v>
      </c>
      <c r="I168" s="11" t="str">
        <f>TEXT(Dataset[[#This Row],[Purchase_Date]],"[$-409]mmmm")</f>
        <v>January</v>
      </c>
      <c r="J168" s="12">
        <f>MONTH(Dataset[[#This Row],[Purchase_Date]])</f>
        <v>1</v>
      </c>
      <c r="K168" s="13" t="str">
        <f>TEXT(Dataset[[#This Row],[Purchase_Date]],"mm - [$-409]mmmm")</f>
        <v>01 - January</v>
      </c>
      <c r="L168" s="11" t="str">
        <f>IF(Dataset[[#This Row],[Purchase_Date]]="","",YEAR(Dataset[[#This Row],[Purchase_Date]]))</f>
        <v/>
      </c>
      <c r="M168" s="11" t="str" cm="1">
        <f t="array" ref="M168">_xlfn.IFS(B168&lt;=25, "Young Adults", B168&lt;=35, "Emerging Professionals", B168&lt;=50, "Established Adults", TRUE, "Mature Customers")</f>
        <v>Established Adults</v>
      </c>
      <c r="N168" s="11" t="str">
        <f>IF(Dataset[[#This Row],[Total_Spent (€)]]&lt;10,"Low Spender",IF(Dataset[[#This Row],[Total_Spent (€)]]&lt;25,"Medium Spender","High Spender"))</f>
        <v>Low Spender</v>
      </c>
    </row>
    <row r="169" spans="1:14" x14ac:dyDescent="0.2">
      <c r="A169" s="14" t="s">
        <v>619</v>
      </c>
      <c r="B169" s="11">
        <v>36</v>
      </c>
      <c r="C169" s="11" t="s">
        <v>844</v>
      </c>
      <c r="D169" s="11">
        <v>12.99</v>
      </c>
      <c r="E169" s="11" t="s">
        <v>144</v>
      </c>
      <c r="F169" s="11" t="s">
        <v>612</v>
      </c>
      <c r="G169" s="11">
        <v>1</v>
      </c>
      <c r="H169" s="11">
        <v>6.08</v>
      </c>
      <c r="I169" s="11" t="str">
        <f>TEXT(Dataset[[#This Row],[Purchase_Date]],"[$-409]mmmm")</f>
        <v>April</v>
      </c>
      <c r="J169" s="12">
        <f>MONTH(Dataset[[#This Row],[Purchase_Date]])</f>
        <v>4</v>
      </c>
      <c r="K169" s="13" t="str">
        <f>TEXT(Dataset[[#This Row],[Purchase_Date]],"mm - [$-409]mmmm")</f>
        <v>04 - April</v>
      </c>
      <c r="L169" s="11">
        <f>IF(Dataset[[#This Row],[Purchase_Date]]="","",YEAR(Dataset[[#This Row],[Purchase_Date]]))</f>
        <v>2025</v>
      </c>
      <c r="M169" s="11" t="str" cm="1">
        <f t="array" ref="M169">_xlfn.IFS(B169&lt;=25, "Young Adults", B169&lt;=35, "Emerging Professionals", B169&lt;=50, "Established Adults", TRUE, "Mature Customers")</f>
        <v>Established Adults</v>
      </c>
      <c r="N169" s="11" t="str">
        <f>IF(Dataset[[#This Row],[Total_Spent (€)]]&lt;10,"Low Spender",IF(Dataset[[#This Row],[Total_Spent (€)]]&lt;25,"Medium Spender","High Spender"))</f>
        <v>Medium Spender</v>
      </c>
    </row>
    <row r="170" spans="1:14" x14ac:dyDescent="0.2">
      <c r="A170" s="14" t="s">
        <v>618</v>
      </c>
      <c r="B170" s="11">
        <v>29</v>
      </c>
      <c r="C170" s="11" t="s">
        <v>13</v>
      </c>
      <c r="D170" s="11"/>
      <c r="F170" s="11" t="s">
        <v>93</v>
      </c>
      <c r="G170" s="11">
        <v>0</v>
      </c>
      <c r="H170" s="11">
        <v>8.77</v>
      </c>
      <c r="I170" s="11" t="str">
        <f>TEXT(Dataset[[#This Row],[Purchase_Date]],"[$-409]mmmm")</f>
        <v>January</v>
      </c>
      <c r="J170" s="12">
        <f>MONTH(Dataset[[#This Row],[Purchase_Date]])</f>
        <v>1</v>
      </c>
      <c r="K170" s="13" t="str">
        <f>TEXT(Dataset[[#This Row],[Purchase_Date]],"mm - [$-409]mmmm")</f>
        <v>01 - January</v>
      </c>
      <c r="L170" s="11" t="str">
        <f>IF(Dataset[[#This Row],[Purchase_Date]]="","",YEAR(Dataset[[#This Row],[Purchase_Date]]))</f>
        <v/>
      </c>
      <c r="M170" s="11" t="str" cm="1">
        <f t="array" ref="M170">_xlfn.IFS(B170&lt;=25, "Young Adults", B170&lt;=35, "Emerging Professionals", B170&lt;=50, "Established Adults", TRUE, "Mature Customers")</f>
        <v>Emerging Professionals</v>
      </c>
      <c r="N170" s="11" t="str">
        <f>IF(Dataset[[#This Row],[Total_Spent (€)]]&lt;10,"Low Spender",IF(Dataset[[#This Row],[Total_Spent (€)]]&lt;25,"Medium Spender","High Spender"))</f>
        <v>Low Spender</v>
      </c>
    </row>
    <row r="171" spans="1:14" x14ac:dyDescent="0.2">
      <c r="A171" s="14" t="s">
        <v>617</v>
      </c>
      <c r="B171" s="11">
        <v>50</v>
      </c>
      <c r="C171" s="11" t="s">
        <v>841</v>
      </c>
      <c r="D171" s="11"/>
      <c r="F171" s="11" t="s">
        <v>49</v>
      </c>
      <c r="G171" s="11">
        <v>0</v>
      </c>
      <c r="H171" s="11">
        <v>9.43</v>
      </c>
      <c r="I171" s="11" t="str">
        <f>TEXT(Dataset[[#This Row],[Purchase_Date]],"[$-409]mmmm")</f>
        <v>January</v>
      </c>
      <c r="J171" s="12">
        <f>MONTH(Dataset[[#This Row],[Purchase_Date]])</f>
        <v>1</v>
      </c>
      <c r="K171" s="13" t="str">
        <f>TEXT(Dataset[[#This Row],[Purchase_Date]],"mm - [$-409]mmmm")</f>
        <v>01 - January</v>
      </c>
      <c r="L171" s="11" t="str">
        <f>IF(Dataset[[#This Row],[Purchase_Date]]="","",YEAR(Dataset[[#This Row],[Purchase_Date]]))</f>
        <v/>
      </c>
      <c r="M171" s="11" t="str" cm="1">
        <f t="array" ref="M171">_xlfn.IFS(B171&lt;=25, "Young Adults", B171&lt;=35, "Emerging Professionals", B171&lt;=50, "Established Adults", TRUE, "Mature Customers")</f>
        <v>Established Adults</v>
      </c>
      <c r="N171" s="11" t="str">
        <f>IF(Dataset[[#This Row],[Total_Spent (€)]]&lt;10,"Low Spender",IF(Dataset[[#This Row],[Total_Spent (€)]]&lt;25,"Medium Spender","High Spender"))</f>
        <v>Low Spender</v>
      </c>
    </row>
    <row r="172" spans="1:14" x14ac:dyDescent="0.2">
      <c r="A172" s="14" t="s">
        <v>616</v>
      </c>
      <c r="B172" s="11">
        <v>20</v>
      </c>
      <c r="C172" s="11" t="s">
        <v>13</v>
      </c>
      <c r="D172" s="11"/>
      <c r="F172" s="11" t="s">
        <v>615</v>
      </c>
      <c r="G172" s="11">
        <v>0</v>
      </c>
      <c r="H172" s="11">
        <v>2.3199999999999998</v>
      </c>
      <c r="I172" s="11" t="str">
        <f>TEXT(Dataset[[#This Row],[Purchase_Date]],"[$-409]mmmm")</f>
        <v>January</v>
      </c>
      <c r="J172" s="12">
        <f>MONTH(Dataset[[#This Row],[Purchase_Date]])</f>
        <v>1</v>
      </c>
      <c r="K172" s="13" t="str">
        <f>TEXT(Dataset[[#This Row],[Purchase_Date]],"mm - [$-409]mmmm")</f>
        <v>01 - January</v>
      </c>
      <c r="L172" s="11" t="str">
        <f>IF(Dataset[[#This Row],[Purchase_Date]]="","",YEAR(Dataset[[#This Row],[Purchase_Date]]))</f>
        <v/>
      </c>
      <c r="M172" s="11" t="str" cm="1">
        <f t="array" ref="M172">_xlfn.IFS(B172&lt;=25, "Young Adults", B172&lt;=35, "Emerging Professionals", B172&lt;=50, "Established Adults", TRUE, "Mature Customers")</f>
        <v>Young Adults</v>
      </c>
      <c r="N172" s="11" t="str">
        <f>IF(Dataset[[#This Row],[Total_Spent (€)]]&lt;10,"Low Spender",IF(Dataset[[#This Row],[Total_Spent (€)]]&lt;25,"Medium Spender","High Spender"))</f>
        <v>Low Spender</v>
      </c>
    </row>
    <row r="173" spans="1:14" x14ac:dyDescent="0.2">
      <c r="A173" s="14" t="s">
        <v>614</v>
      </c>
      <c r="B173" s="11">
        <v>29</v>
      </c>
      <c r="C173" s="11" t="s">
        <v>847</v>
      </c>
      <c r="D173" s="11"/>
      <c r="F173" s="11" t="s">
        <v>58</v>
      </c>
      <c r="G173" s="11">
        <v>0</v>
      </c>
      <c r="H173" s="11">
        <v>6.3</v>
      </c>
      <c r="I173" s="11" t="str">
        <f>TEXT(Dataset[[#This Row],[Purchase_Date]],"[$-409]mmmm")</f>
        <v>January</v>
      </c>
      <c r="J173" s="12">
        <f>MONTH(Dataset[[#This Row],[Purchase_Date]])</f>
        <v>1</v>
      </c>
      <c r="K173" s="13" t="str">
        <f>TEXT(Dataset[[#This Row],[Purchase_Date]],"mm - [$-409]mmmm")</f>
        <v>01 - January</v>
      </c>
      <c r="L173" s="11" t="str">
        <f>IF(Dataset[[#This Row],[Purchase_Date]]="","",YEAR(Dataset[[#This Row],[Purchase_Date]]))</f>
        <v/>
      </c>
      <c r="M173" s="11" t="str" cm="1">
        <f t="array" ref="M173">_xlfn.IFS(B173&lt;=25, "Young Adults", B173&lt;=35, "Emerging Professionals", B173&lt;=50, "Established Adults", TRUE, "Mature Customers")</f>
        <v>Emerging Professionals</v>
      </c>
      <c r="N173" s="11" t="str">
        <f>IF(Dataset[[#This Row],[Total_Spent (€)]]&lt;10,"Low Spender",IF(Dataset[[#This Row],[Total_Spent (€)]]&lt;25,"Medium Spender","High Spender"))</f>
        <v>Low Spender</v>
      </c>
    </row>
    <row r="174" spans="1:14" x14ac:dyDescent="0.2">
      <c r="A174" s="14" t="s">
        <v>613</v>
      </c>
      <c r="B174" s="11">
        <v>50</v>
      </c>
      <c r="C174" s="11" t="s">
        <v>17</v>
      </c>
      <c r="D174" s="11"/>
      <c r="F174" s="11" t="s">
        <v>612</v>
      </c>
      <c r="G174" s="11">
        <v>0</v>
      </c>
      <c r="H174" s="11">
        <v>8.1300000000000008</v>
      </c>
      <c r="I174" s="11" t="str">
        <f>TEXT(Dataset[[#This Row],[Purchase_Date]],"[$-409]mmmm")</f>
        <v>January</v>
      </c>
      <c r="J174" s="12">
        <f>MONTH(Dataset[[#This Row],[Purchase_Date]])</f>
        <v>1</v>
      </c>
      <c r="K174" s="13" t="str">
        <f>TEXT(Dataset[[#This Row],[Purchase_Date]],"mm - [$-409]mmmm")</f>
        <v>01 - January</v>
      </c>
      <c r="L174" s="11" t="str">
        <f>IF(Dataset[[#This Row],[Purchase_Date]]="","",YEAR(Dataset[[#This Row],[Purchase_Date]]))</f>
        <v/>
      </c>
      <c r="M174" s="11" t="str" cm="1">
        <f t="array" ref="M174">_xlfn.IFS(B174&lt;=25, "Young Adults", B174&lt;=35, "Emerging Professionals", B174&lt;=50, "Established Adults", TRUE, "Mature Customers")</f>
        <v>Established Adults</v>
      </c>
      <c r="N174" s="11" t="str">
        <f>IF(Dataset[[#This Row],[Total_Spent (€)]]&lt;10,"Low Spender",IF(Dataset[[#This Row],[Total_Spent (€)]]&lt;25,"Medium Spender","High Spender"))</f>
        <v>Low Spender</v>
      </c>
    </row>
    <row r="175" spans="1:14" x14ac:dyDescent="0.2">
      <c r="A175" s="14" t="s">
        <v>611</v>
      </c>
      <c r="B175" s="11">
        <v>20</v>
      </c>
      <c r="C175" s="11" t="s">
        <v>17</v>
      </c>
      <c r="D175" s="11"/>
      <c r="F175" s="11" t="s">
        <v>430</v>
      </c>
      <c r="G175" s="11">
        <v>0</v>
      </c>
      <c r="H175" s="11">
        <v>2.91</v>
      </c>
      <c r="I175" s="11" t="str">
        <f>TEXT(Dataset[[#This Row],[Purchase_Date]],"[$-409]mmmm")</f>
        <v>January</v>
      </c>
      <c r="J175" s="12">
        <f>MONTH(Dataset[[#This Row],[Purchase_Date]])</f>
        <v>1</v>
      </c>
      <c r="K175" s="13" t="str">
        <f>TEXT(Dataset[[#This Row],[Purchase_Date]],"mm - [$-409]mmmm")</f>
        <v>01 - January</v>
      </c>
      <c r="L175" s="11" t="str">
        <f>IF(Dataset[[#This Row],[Purchase_Date]]="","",YEAR(Dataset[[#This Row],[Purchase_Date]]))</f>
        <v/>
      </c>
      <c r="M175" s="11" t="str" cm="1">
        <f t="array" ref="M175">_xlfn.IFS(B175&lt;=25, "Young Adults", B175&lt;=35, "Emerging Professionals", B175&lt;=50, "Established Adults", TRUE, "Mature Customers")</f>
        <v>Young Adults</v>
      </c>
      <c r="N175" s="11" t="str">
        <f>IF(Dataset[[#This Row],[Total_Spent (€)]]&lt;10,"Low Spender",IF(Dataset[[#This Row],[Total_Spent (€)]]&lt;25,"Medium Spender","High Spender"))</f>
        <v>Low Spender</v>
      </c>
    </row>
    <row r="176" spans="1:14" x14ac:dyDescent="0.2">
      <c r="A176" s="14" t="s">
        <v>610</v>
      </c>
      <c r="B176" s="11">
        <v>32</v>
      </c>
      <c r="C176" s="11" t="s">
        <v>30</v>
      </c>
      <c r="D176" s="11"/>
      <c r="F176" s="11" t="s">
        <v>227</v>
      </c>
      <c r="G176" s="11">
        <v>0</v>
      </c>
      <c r="H176" s="11">
        <v>8.91</v>
      </c>
      <c r="I176" s="11" t="str">
        <f>TEXT(Dataset[[#This Row],[Purchase_Date]],"[$-409]mmmm")</f>
        <v>January</v>
      </c>
      <c r="J176" s="12">
        <f>MONTH(Dataset[[#This Row],[Purchase_Date]])</f>
        <v>1</v>
      </c>
      <c r="K176" s="13" t="str">
        <f>TEXT(Dataset[[#This Row],[Purchase_Date]],"mm - [$-409]mmmm")</f>
        <v>01 - January</v>
      </c>
      <c r="L176" s="11" t="str">
        <f>IF(Dataset[[#This Row],[Purchase_Date]]="","",YEAR(Dataset[[#This Row],[Purchase_Date]]))</f>
        <v/>
      </c>
      <c r="M176" s="11" t="str" cm="1">
        <f t="array" ref="M176">_xlfn.IFS(B176&lt;=25, "Young Adults", B176&lt;=35, "Emerging Professionals", B176&lt;=50, "Established Adults", TRUE, "Mature Customers")</f>
        <v>Emerging Professionals</v>
      </c>
      <c r="N176" s="11" t="str">
        <f>IF(Dataset[[#This Row],[Total_Spent (€)]]&lt;10,"Low Spender",IF(Dataset[[#This Row],[Total_Spent (€)]]&lt;25,"Medium Spender","High Spender"))</f>
        <v>Low Spender</v>
      </c>
    </row>
    <row r="177" spans="1:14" x14ac:dyDescent="0.2">
      <c r="A177" s="14" t="s">
        <v>609</v>
      </c>
      <c r="B177" s="11">
        <v>21</v>
      </c>
      <c r="C177" s="11" t="s">
        <v>840</v>
      </c>
      <c r="D177" s="11">
        <v>14.33</v>
      </c>
      <c r="E177" s="11" t="s">
        <v>207</v>
      </c>
      <c r="F177" s="11" t="s">
        <v>370</v>
      </c>
      <c r="G177" s="11">
        <v>1</v>
      </c>
      <c r="H177" s="11">
        <v>9.5299999999999994</v>
      </c>
      <c r="I177" s="11" t="str">
        <f>TEXT(Dataset[[#This Row],[Purchase_Date]],"[$-409]mmmm")</f>
        <v>May</v>
      </c>
      <c r="J177" s="12">
        <f>MONTH(Dataset[[#This Row],[Purchase_Date]])</f>
        <v>5</v>
      </c>
      <c r="K177" s="13" t="str">
        <f>TEXT(Dataset[[#This Row],[Purchase_Date]],"mm - [$-409]mmmm")</f>
        <v>05 - May</v>
      </c>
      <c r="L177" s="11">
        <f>IF(Dataset[[#This Row],[Purchase_Date]]="","",YEAR(Dataset[[#This Row],[Purchase_Date]]))</f>
        <v>2025</v>
      </c>
      <c r="M177" s="11" t="str" cm="1">
        <f t="array" ref="M177">_xlfn.IFS(B177&lt;=25, "Young Adults", B177&lt;=35, "Emerging Professionals", B177&lt;=50, "Established Adults", TRUE, "Mature Customers")</f>
        <v>Young Adults</v>
      </c>
      <c r="N177" s="11" t="str">
        <f>IF(Dataset[[#This Row],[Total_Spent (€)]]&lt;10,"Low Spender",IF(Dataset[[#This Row],[Total_Spent (€)]]&lt;25,"Medium Spender","High Spender"))</f>
        <v>Medium Spender</v>
      </c>
    </row>
    <row r="178" spans="1:14" x14ac:dyDescent="0.2">
      <c r="A178" s="14" t="s">
        <v>608</v>
      </c>
      <c r="B178" s="11">
        <v>22</v>
      </c>
      <c r="C178" s="11" t="s">
        <v>30</v>
      </c>
      <c r="D178" s="11">
        <v>20.6</v>
      </c>
      <c r="E178" s="11" t="s">
        <v>607</v>
      </c>
      <c r="F178" s="11" t="s">
        <v>399</v>
      </c>
      <c r="G178" s="11">
        <v>1</v>
      </c>
      <c r="H178" s="11">
        <v>3.84</v>
      </c>
      <c r="I178" s="11" t="str">
        <f>TEXT(Dataset[[#This Row],[Purchase_Date]],"[$-409]mmmm")</f>
        <v>October</v>
      </c>
      <c r="J178" s="12">
        <f>MONTH(Dataset[[#This Row],[Purchase_Date]])</f>
        <v>10</v>
      </c>
      <c r="K178" s="13" t="str">
        <f>TEXT(Dataset[[#This Row],[Purchase_Date]],"mm - [$-409]mmmm")</f>
        <v>10 - October</v>
      </c>
      <c r="L178" s="11">
        <f>IF(Dataset[[#This Row],[Purchase_Date]]="","",YEAR(Dataset[[#This Row],[Purchase_Date]]))</f>
        <v>2024</v>
      </c>
      <c r="M178" s="11" t="str" cm="1">
        <f t="array" ref="M178">_xlfn.IFS(B178&lt;=25, "Young Adults", B178&lt;=35, "Emerging Professionals", B178&lt;=50, "Established Adults", TRUE, "Mature Customers")</f>
        <v>Young Adults</v>
      </c>
      <c r="N178" s="11" t="str">
        <f>IF(Dataset[[#This Row],[Total_Spent (€)]]&lt;10,"Low Spender",IF(Dataset[[#This Row],[Total_Spent (€)]]&lt;25,"Medium Spender","High Spender"))</f>
        <v>Medium Spender</v>
      </c>
    </row>
    <row r="179" spans="1:14" x14ac:dyDescent="0.2">
      <c r="A179" s="14" t="s">
        <v>606</v>
      </c>
      <c r="B179" s="11">
        <v>46</v>
      </c>
      <c r="C179" s="11" t="s">
        <v>845</v>
      </c>
      <c r="D179" s="11">
        <v>19.98</v>
      </c>
      <c r="E179" s="11" t="s">
        <v>115</v>
      </c>
      <c r="F179" s="11" t="s">
        <v>139</v>
      </c>
      <c r="G179" s="11">
        <v>1</v>
      </c>
      <c r="H179" s="11">
        <v>2.64</v>
      </c>
      <c r="I179" s="11" t="str">
        <f>TEXT(Dataset[[#This Row],[Purchase_Date]],"[$-409]mmmm")</f>
        <v>November</v>
      </c>
      <c r="J179" s="12">
        <f>MONTH(Dataset[[#This Row],[Purchase_Date]])</f>
        <v>11</v>
      </c>
      <c r="K179" s="13" t="str">
        <f>TEXT(Dataset[[#This Row],[Purchase_Date]],"mm - [$-409]mmmm")</f>
        <v>11 - November</v>
      </c>
      <c r="L179" s="11">
        <f>IF(Dataset[[#This Row],[Purchase_Date]]="","",YEAR(Dataset[[#This Row],[Purchase_Date]]))</f>
        <v>2024</v>
      </c>
      <c r="M179" s="11" t="str" cm="1">
        <f t="array" ref="M179">_xlfn.IFS(B179&lt;=25, "Young Adults", B179&lt;=35, "Emerging Professionals", B179&lt;=50, "Established Adults", TRUE, "Mature Customers")</f>
        <v>Established Adults</v>
      </c>
      <c r="N179" s="11" t="str">
        <f>IF(Dataset[[#This Row],[Total_Spent (€)]]&lt;10,"Low Spender",IF(Dataset[[#This Row],[Total_Spent (€)]]&lt;25,"Medium Spender","High Spender"))</f>
        <v>Medium Spender</v>
      </c>
    </row>
    <row r="180" spans="1:14" x14ac:dyDescent="0.2">
      <c r="A180" s="14" t="s">
        <v>605</v>
      </c>
      <c r="B180" s="11">
        <v>44</v>
      </c>
      <c r="C180" s="11" t="s">
        <v>9</v>
      </c>
      <c r="D180" s="11"/>
      <c r="F180" s="11" t="s">
        <v>604</v>
      </c>
      <c r="G180" s="11">
        <v>0</v>
      </c>
      <c r="H180" s="11">
        <v>3.91</v>
      </c>
      <c r="I180" s="11" t="str">
        <f>TEXT(Dataset[[#This Row],[Purchase_Date]],"[$-409]mmmm")</f>
        <v>January</v>
      </c>
      <c r="J180" s="12">
        <f>MONTH(Dataset[[#This Row],[Purchase_Date]])</f>
        <v>1</v>
      </c>
      <c r="K180" s="13" t="str">
        <f>TEXT(Dataset[[#This Row],[Purchase_Date]],"mm - [$-409]mmmm")</f>
        <v>01 - January</v>
      </c>
      <c r="L180" s="11" t="str">
        <f>IF(Dataset[[#This Row],[Purchase_Date]]="","",YEAR(Dataset[[#This Row],[Purchase_Date]]))</f>
        <v/>
      </c>
      <c r="M180" s="11" t="str" cm="1">
        <f t="array" ref="M180">_xlfn.IFS(B180&lt;=25, "Young Adults", B180&lt;=35, "Emerging Professionals", B180&lt;=50, "Established Adults", TRUE, "Mature Customers")</f>
        <v>Established Adults</v>
      </c>
      <c r="N180" s="11" t="str">
        <f>IF(Dataset[[#This Row],[Total_Spent (€)]]&lt;10,"Low Spender",IF(Dataset[[#This Row],[Total_Spent (€)]]&lt;25,"Medium Spender","High Spender"))</f>
        <v>Low Spender</v>
      </c>
    </row>
    <row r="181" spans="1:14" x14ac:dyDescent="0.2">
      <c r="A181" s="14" t="s">
        <v>603</v>
      </c>
      <c r="B181" s="11">
        <v>26</v>
      </c>
      <c r="C181" s="11" t="s">
        <v>9</v>
      </c>
      <c r="D181" s="11"/>
      <c r="F181" s="11" t="s">
        <v>602</v>
      </c>
      <c r="G181" s="11">
        <v>0</v>
      </c>
      <c r="H181" s="11">
        <v>8.6999999999999993</v>
      </c>
      <c r="I181" s="11" t="str">
        <f>TEXT(Dataset[[#This Row],[Purchase_Date]],"[$-409]mmmm")</f>
        <v>January</v>
      </c>
      <c r="J181" s="12">
        <f>MONTH(Dataset[[#This Row],[Purchase_Date]])</f>
        <v>1</v>
      </c>
      <c r="K181" s="13" t="str">
        <f>TEXT(Dataset[[#This Row],[Purchase_Date]],"mm - [$-409]mmmm")</f>
        <v>01 - January</v>
      </c>
      <c r="L181" s="11" t="str">
        <f>IF(Dataset[[#This Row],[Purchase_Date]]="","",YEAR(Dataset[[#This Row],[Purchase_Date]]))</f>
        <v/>
      </c>
      <c r="M181" s="11" t="str" cm="1">
        <f t="array" ref="M181">_xlfn.IFS(B181&lt;=25, "Young Adults", B181&lt;=35, "Emerging Professionals", B181&lt;=50, "Established Adults", TRUE, "Mature Customers")</f>
        <v>Emerging Professionals</v>
      </c>
      <c r="N181" s="11" t="str">
        <f>IF(Dataset[[#This Row],[Total_Spent (€)]]&lt;10,"Low Spender",IF(Dataset[[#This Row],[Total_Spent (€)]]&lt;25,"Medium Spender","High Spender"))</f>
        <v>Low Spender</v>
      </c>
    </row>
    <row r="182" spans="1:14" x14ac:dyDescent="0.2">
      <c r="A182" s="14" t="s">
        <v>601</v>
      </c>
      <c r="B182" s="11">
        <v>33</v>
      </c>
      <c r="C182" s="11" t="s">
        <v>61</v>
      </c>
      <c r="D182" s="11">
        <v>23.96</v>
      </c>
      <c r="E182" s="11" t="s">
        <v>600</v>
      </c>
      <c r="F182" s="11" t="s">
        <v>600</v>
      </c>
      <c r="G182" s="11">
        <v>1</v>
      </c>
      <c r="H182" s="11">
        <v>5.41</v>
      </c>
      <c r="I182" s="11" t="str">
        <f>TEXT(Dataset[[#This Row],[Purchase_Date]],"[$-409]mmmm")</f>
        <v>March</v>
      </c>
      <c r="J182" s="12">
        <f>MONTH(Dataset[[#This Row],[Purchase_Date]])</f>
        <v>3</v>
      </c>
      <c r="K182" s="13" t="str">
        <f>TEXT(Dataset[[#This Row],[Purchase_Date]],"mm - [$-409]mmmm")</f>
        <v>03 - March</v>
      </c>
      <c r="L182" s="11">
        <f>IF(Dataset[[#This Row],[Purchase_Date]]="","",YEAR(Dataset[[#This Row],[Purchase_Date]]))</f>
        <v>2025</v>
      </c>
      <c r="M182" s="11" t="str" cm="1">
        <f t="array" ref="M182">_xlfn.IFS(B182&lt;=25, "Young Adults", B182&lt;=35, "Emerging Professionals", B182&lt;=50, "Established Adults", TRUE, "Mature Customers")</f>
        <v>Emerging Professionals</v>
      </c>
      <c r="N182" s="11" t="str">
        <f>IF(Dataset[[#This Row],[Total_Spent (€)]]&lt;10,"Low Spender",IF(Dataset[[#This Row],[Total_Spent (€)]]&lt;25,"Medium Spender","High Spender"))</f>
        <v>Medium Spender</v>
      </c>
    </row>
    <row r="183" spans="1:14" x14ac:dyDescent="0.2">
      <c r="A183" s="14" t="s">
        <v>599</v>
      </c>
      <c r="B183" s="11">
        <v>32</v>
      </c>
      <c r="C183" s="11" t="s">
        <v>844</v>
      </c>
      <c r="D183" s="11"/>
      <c r="F183" s="11" t="s">
        <v>267</v>
      </c>
      <c r="G183" s="11">
        <v>0</v>
      </c>
      <c r="H183" s="11">
        <v>9.6199999999999992</v>
      </c>
      <c r="I183" s="11" t="str">
        <f>TEXT(Dataset[[#This Row],[Purchase_Date]],"[$-409]mmmm")</f>
        <v>January</v>
      </c>
      <c r="J183" s="12">
        <f>MONTH(Dataset[[#This Row],[Purchase_Date]])</f>
        <v>1</v>
      </c>
      <c r="K183" s="13" t="str">
        <f>TEXT(Dataset[[#This Row],[Purchase_Date]],"mm - [$-409]mmmm")</f>
        <v>01 - January</v>
      </c>
      <c r="L183" s="11" t="str">
        <f>IF(Dataset[[#This Row],[Purchase_Date]]="","",YEAR(Dataset[[#This Row],[Purchase_Date]]))</f>
        <v/>
      </c>
      <c r="M183" s="11" t="str" cm="1">
        <f t="array" ref="M183">_xlfn.IFS(B183&lt;=25, "Young Adults", B183&lt;=35, "Emerging Professionals", B183&lt;=50, "Established Adults", TRUE, "Mature Customers")</f>
        <v>Emerging Professionals</v>
      </c>
      <c r="N183" s="11" t="str">
        <f>IF(Dataset[[#This Row],[Total_Spent (€)]]&lt;10,"Low Spender",IF(Dataset[[#This Row],[Total_Spent (€)]]&lt;25,"Medium Spender","High Spender"))</f>
        <v>Low Spender</v>
      </c>
    </row>
    <row r="184" spans="1:14" x14ac:dyDescent="0.2">
      <c r="A184" s="14" t="s">
        <v>598</v>
      </c>
      <c r="B184" s="11">
        <v>27</v>
      </c>
      <c r="C184" s="11" t="s">
        <v>9</v>
      </c>
      <c r="D184" s="11">
        <v>22.36</v>
      </c>
      <c r="E184" s="11" t="s">
        <v>125</v>
      </c>
      <c r="F184" s="11" t="s">
        <v>597</v>
      </c>
      <c r="G184" s="11">
        <v>1</v>
      </c>
      <c r="H184" s="11">
        <v>9.5500000000000007</v>
      </c>
      <c r="I184" s="11" t="str">
        <f>TEXT(Dataset[[#This Row],[Purchase_Date]],"[$-409]mmmm")</f>
        <v>October</v>
      </c>
      <c r="J184" s="12">
        <f>MONTH(Dataset[[#This Row],[Purchase_Date]])</f>
        <v>10</v>
      </c>
      <c r="K184" s="13" t="str">
        <f>TEXT(Dataset[[#This Row],[Purchase_Date]],"mm - [$-409]mmmm")</f>
        <v>10 - October</v>
      </c>
      <c r="L184" s="11">
        <f>IF(Dataset[[#This Row],[Purchase_Date]]="","",YEAR(Dataset[[#This Row],[Purchase_Date]]))</f>
        <v>2024</v>
      </c>
      <c r="M184" s="11" t="str" cm="1">
        <f t="array" ref="M184">_xlfn.IFS(B184&lt;=25, "Young Adults", B184&lt;=35, "Emerging Professionals", B184&lt;=50, "Established Adults", TRUE, "Mature Customers")</f>
        <v>Emerging Professionals</v>
      </c>
      <c r="N184" s="11" t="str">
        <f>IF(Dataset[[#This Row],[Total_Spent (€)]]&lt;10,"Low Spender",IF(Dataset[[#This Row],[Total_Spent (€)]]&lt;25,"Medium Spender","High Spender"))</f>
        <v>Medium Spender</v>
      </c>
    </row>
    <row r="185" spans="1:14" x14ac:dyDescent="0.2">
      <c r="A185" s="14" t="s">
        <v>596</v>
      </c>
      <c r="B185" s="11">
        <v>51</v>
      </c>
      <c r="C185" s="11" t="s">
        <v>846</v>
      </c>
      <c r="D185" s="11">
        <v>31.41</v>
      </c>
      <c r="E185" s="11" t="s">
        <v>595</v>
      </c>
      <c r="F185" s="11" t="s">
        <v>360</v>
      </c>
      <c r="G185" s="11">
        <v>1</v>
      </c>
      <c r="H185" s="11">
        <v>5.61</v>
      </c>
      <c r="I185" s="11" t="str">
        <f>TEXT(Dataset[[#This Row],[Purchase_Date]],"[$-409]mmmm")</f>
        <v>February</v>
      </c>
      <c r="J185" s="12">
        <f>MONTH(Dataset[[#This Row],[Purchase_Date]])</f>
        <v>2</v>
      </c>
      <c r="K185" s="13" t="str">
        <f>TEXT(Dataset[[#This Row],[Purchase_Date]],"mm - [$-409]mmmm")</f>
        <v>02 - February</v>
      </c>
      <c r="L185" s="11">
        <f>IF(Dataset[[#This Row],[Purchase_Date]]="","",YEAR(Dataset[[#This Row],[Purchase_Date]]))</f>
        <v>2025</v>
      </c>
      <c r="M185" s="11" t="str" cm="1">
        <f t="array" ref="M185">_xlfn.IFS(B185&lt;=25, "Young Adults", B185&lt;=35, "Emerging Professionals", B185&lt;=50, "Established Adults", TRUE, "Mature Customers")</f>
        <v>Mature Customers</v>
      </c>
      <c r="N185" s="11" t="str">
        <f>IF(Dataset[[#This Row],[Total_Spent (€)]]&lt;10,"Low Spender",IF(Dataset[[#This Row],[Total_Spent (€)]]&lt;25,"Medium Spender","High Spender"))</f>
        <v>High Spender</v>
      </c>
    </row>
    <row r="186" spans="1:14" x14ac:dyDescent="0.2">
      <c r="A186" s="14" t="s">
        <v>594</v>
      </c>
      <c r="B186" s="11">
        <v>33</v>
      </c>
      <c r="C186" s="11" t="s">
        <v>75</v>
      </c>
      <c r="D186" s="11"/>
      <c r="F186" s="11" t="s">
        <v>593</v>
      </c>
      <c r="G186" s="11">
        <v>0</v>
      </c>
      <c r="H186" s="11">
        <v>9.91</v>
      </c>
      <c r="I186" s="11" t="str">
        <f>TEXT(Dataset[[#This Row],[Purchase_Date]],"[$-409]mmmm")</f>
        <v>January</v>
      </c>
      <c r="J186" s="12">
        <f>MONTH(Dataset[[#This Row],[Purchase_Date]])</f>
        <v>1</v>
      </c>
      <c r="K186" s="13" t="str">
        <f>TEXT(Dataset[[#This Row],[Purchase_Date]],"mm - [$-409]mmmm")</f>
        <v>01 - January</v>
      </c>
      <c r="L186" s="11" t="str">
        <f>IF(Dataset[[#This Row],[Purchase_Date]]="","",YEAR(Dataset[[#This Row],[Purchase_Date]]))</f>
        <v/>
      </c>
      <c r="M186" s="11" t="str" cm="1">
        <f t="array" ref="M186">_xlfn.IFS(B186&lt;=25, "Young Adults", B186&lt;=35, "Emerging Professionals", B186&lt;=50, "Established Adults", TRUE, "Mature Customers")</f>
        <v>Emerging Professionals</v>
      </c>
      <c r="N186" s="11" t="str">
        <f>IF(Dataset[[#This Row],[Total_Spent (€)]]&lt;10,"Low Spender",IF(Dataset[[#This Row],[Total_Spent (€)]]&lt;25,"Medium Spender","High Spender"))</f>
        <v>Low Spender</v>
      </c>
    </row>
    <row r="187" spans="1:14" x14ac:dyDescent="0.2">
      <c r="A187" s="14" t="s">
        <v>592</v>
      </c>
      <c r="B187" s="11">
        <v>41</v>
      </c>
      <c r="C187" s="11" t="s">
        <v>43</v>
      </c>
      <c r="D187" s="11">
        <v>20.66</v>
      </c>
      <c r="E187" s="11" t="s">
        <v>188</v>
      </c>
      <c r="F187" s="11" t="s">
        <v>318</v>
      </c>
      <c r="G187" s="11">
        <v>1</v>
      </c>
      <c r="H187" s="11">
        <v>8</v>
      </c>
      <c r="I187" s="11" t="str">
        <f>TEXT(Dataset[[#This Row],[Purchase_Date]],"[$-409]mmmm")</f>
        <v>October</v>
      </c>
      <c r="J187" s="12">
        <f>MONTH(Dataset[[#This Row],[Purchase_Date]])</f>
        <v>10</v>
      </c>
      <c r="K187" s="13" t="str">
        <f>TEXT(Dataset[[#This Row],[Purchase_Date]],"mm - [$-409]mmmm")</f>
        <v>10 - October</v>
      </c>
      <c r="L187" s="11">
        <f>IF(Dataset[[#This Row],[Purchase_Date]]="","",YEAR(Dataset[[#This Row],[Purchase_Date]]))</f>
        <v>2024</v>
      </c>
      <c r="M187" s="11" t="str" cm="1">
        <f t="array" ref="M187">_xlfn.IFS(B187&lt;=25, "Young Adults", B187&lt;=35, "Emerging Professionals", B187&lt;=50, "Established Adults", TRUE, "Mature Customers")</f>
        <v>Established Adults</v>
      </c>
      <c r="N187" s="11" t="str">
        <f>IF(Dataset[[#This Row],[Total_Spent (€)]]&lt;10,"Low Spender",IF(Dataset[[#This Row],[Total_Spent (€)]]&lt;25,"Medium Spender","High Spender"))</f>
        <v>Medium Spender</v>
      </c>
    </row>
    <row r="188" spans="1:14" x14ac:dyDescent="0.2">
      <c r="A188" s="14" t="s">
        <v>591</v>
      </c>
      <c r="B188" s="11">
        <v>30</v>
      </c>
      <c r="C188" s="11" t="s">
        <v>840</v>
      </c>
      <c r="D188" s="11">
        <v>16.86</v>
      </c>
      <c r="E188" s="11" t="s">
        <v>489</v>
      </c>
      <c r="F188" s="11" t="s">
        <v>57</v>
      </c>
      <c r="G188" s="11">
        <v>1</v>
      </c>
      <c r="H188" s="11">
        <v>8.7100000000000009</v>
      </c>
      <c r="I188" s="11" t="str">
        <f>TEXT(Dataset[[#This Row],[Purchase_Date]],"[$-409]mmmm")</f>
        <v>March</v>
      </c>
      <c r="J188" s="12">
        <f>MONTH(Dataset[[#This Row],[Purchase_Date]])</f>
        <v>3</v>
      </c>
      <c r="K188" s="13" t="str">
        <f>TEXT(Dataset[[#This Row],[Purchase_Date]],"mm - [$-409]mmmm")</f>
        <v>03 - March</v>
      </c>
      <c r="L188" s="11">
        <f>IF(Dataset[[#This Row],[Purchase_Date]]="","",YEAR(Dataset[[#This Row],[Purchase_Date]]))</f>
        <v>2025</v>
      </c>
      <c r="M188" s="11" t="str" cm="1">
        <f t="array" ref="M188">_xlfn.IFS(B188&lt;=25, "Young Adults", B188&lt;=35, "Emerging Professionals", B188&lt;=50, "Established Adults", TRUE, "Mature Customers")</f>
        <v>Emerging Professionals</v>
      </c>
      <c r="N188" s="11" t="str">
        <f>IF(Dataset[[#This Row],[Total_Spent (€)]]&lt;10,"Low Spender",IF(Dataset[[#This Row],[Total_Spent (€)]]&lt;25,"Medium Spender","High Spender"))</f>
        <v>Medium Spender</v>
      </c>
    </row>
    <row r="189" spans="1:14" x14ac:dyDescent="0.2">
      <c r="A189" s="14" t="s">
        <v>590</v>
      </c>
      <c r="B189" s="11">
        <v>29</v>
      </c>
      <c r="C189" s="11" t="s">
        <v>20</v>
      </c>
      <c r="D189" s="11"/>
      <c r="F189" s="11" t="s">
        <v>58</v>
      </c>
      <c r="G189" s="11">
        <v>0</v>
      </c>
      <c r="H189" s="11">
        <v>5.64</v>
      </c>
      <c r="I189" s="11" t="str">
        <f>TEXT(Dataset[[#This Row],[Purchase_Date]],"[$-409]mmmm")</f>
        <v>January</v>
      </c>
      <c r="J189" s="12">
        <f>MONTH(Dataset[[#This Row],[Purchase_Date]])</f>
        <v>1</v>
      </c>
      <c r="K189" s="13" t="str">
        <f>TEXT(Dataset[[#This Row],[Purchase_Date]],"mm - [$-409]mmmm")</f>
        <v>01 - January</v>
      </c>
      <c r="L189" s="11" t="str">
        <f>IF(Dataset[[#This Row],[Purchase_Date]]="","",YEAR(Dataset[[#This Row],[Purchase_Date]]))</f>
        <v/>
      </c>
      <c r="M189" s="11" t="str" cm="1">
        <f t="array" ref="M189">_xlfn.IFS(B189&lt;=25, "Young Adults", B189&lt;=35, "Emerging Professionals", B189&lt;=50, "Established Adults", TRUE, "Mature Customers")</f>
        <v>Emerging Professionals</v>
      </c>
      <c r="N189" s="11" t="str">
        <f>IF(Dataset[[#This Row],[Total_Spent (€)]]&lt;10,"Low Spender",IF(Dataset[[#This Row],[Total_Spent (€)]]&lt;25,"Medium Spender","High Spender"))</f>
        <v>Low Spender</v>
      </c>
    </row>
    <row r="190" spans="1:14" x14ac:dyDescent="0.2">
      <c r="A190" s="14" t="s">
        <v>589</v>
      </c>
      <c r="B190" s="11">
        <v>19</v>
      </c>
      <c r="C190" s="11" t="s">
        <v>61</v>
      </c>
      <c r="D190" s="11"/>
      <c r="F190" s="11" t="s">
        <v>588</v>
      </c>
      <c r="G190" s="11">
        <v>0</v>
      </c>
      <c r="H190" s="11">
        <v>3.02</v>
      </c>
      <c r="I190" s="11" t="str">
        <f>TEXT(Dataset[[#This Row],[Purchase_Date]],"[$-409]mmmm")</f>
        <v>January</v>
      </c>
      <c r="J190" s="12">
        <f>MONTH(Dataset[[#This Row],[Purchase_Date]])</f>
        <v>1</v>
      </c>
      <c r="K190" s="13" t="str">
        <f>TEXT(Dataset[[#This Row],[Purchase_Date]],"mm - [$-409]mmmm")</f>
        <v>01 - January</v>
      </c>
      <c r="L190" s="11" t="str">
        <f>IF(Dataset[[#This Row],[Purchase_Date]]="","",YEAR(Dataset[[#This Row],[Purchase_Date]]))</f>
        <v/>
      </c>
      <c r="M190" s="11" t="str" cm="1">
        <f t="array" ref="M190">_xlfn.IFS(B190&lt;=25, "Young Adults", B190&lt;=35, "Emerging Professionals", B190&lt;=50, "Established Adults", TRUE, "Mature Customers")</f>
        <v>Young Adults</v>
      </c>
      <c r="N190" s="11" t="str">
        <f>IF(Dataset[[#This Row],[Total_Spent (€)]]&lt;10,"Low Spender",IF(Dataset[[#This Row],[Total_Spent (€)]]&lt;25,"Medium Spender","High Spender"))</f>
        <v>Low Spender</v>
      </c>
    </row>
    <row r="191" spans="1:14" x14ac:dyDescent="0.2">
      <c r="A191" s="14" t="s">
        <v>587</v>
      </c>
      <c r="B191" s="11">
        <v>18</v>
      </c>
      <c r="C191" s="11" t="s">
        <v>5</v>
      </c>
      <c r="D191" s="11"/>
      <c r="F191" s="11" t="s">
        <v>131</v>
      </c>
      <c r="G191" s="11">
        <v>0</v>
      </c>
      <c r="H191" s="11">
        <v>2.44</v>
      </c>
      <c r="I191" s="11" t="str">
        <f>TEXT(Dataset[[#This Row],[Purchase_Date]],"[$-409]mmmm")</f>
        <v>January</v>
      </c>
      <c r="J191" s="12">
        <f>MONTH(Dataset[[#This Row],[Purchase_Date]])</f>
        <v>1</v>
      </c>
      <c r="K191" s="13" t="str">
        <f>TEXT(Dataset[[#This Row],[Purchase_Date]],"mm - [$-409]mmmm")</f>
        <v>01 - January</v>
      </c>
      <c r="L191" s="11" t="str">
        <f>IF(Dataset[[#This Row],[Purchase_Date]]="","",YEAR(Dataset[[#This Row],[Purchase_Date]]))</f>
        <v/>
      </c>
      <c r="M191" s="11" t="str" cm="1">
        <f t="array" ref="M191">_xlfn.IFS(B191&lt;=25, "Young Adults", B191&lt;=35, "Emerging Professionals", B191&lt;=50, "Established Adults", TRUE, "Mature Customers")</f>
        <v>Young Adults</v>
      </c>
      <c r="N191" s="11" t="str">
        <f>IF(Dataset[[#This Row],[Total_Spent (€)]]&lt;10,"Low Spender",IF(Dataset[[#This Row],[Total_Spent (€)]]&lt;25,"Medium Spender","High Spender"))</f>
        <v>Low Spender</v>
      </c>
    </row>
    <row r="192" spans="1:14" x14ac:dyDescent="0.2">
      <c r="A192" s="14" t="s">
        <v>586</v>
      </c>
      <c r="B192" s="11">
        <v>32</v>
      </c>
      <c r="C192" s="11" t="s">
        <v>843</v>
      </c>
      <c r="D192" s="11"/>
      <c r="F192" s="11" t="s">
        <v>585</v>
      </c>
      <c r="G192" s="11">
        <v>0</v>
      </c>
      <c r="H192" s="11">
        <v>5.0999999999999996</v>
      </c>
      <c r="I192" s="11" t="str">
        <f>TEXT(Dataset[[#This Row],[Purchase_Date]],"[$-409]mmmm")</f>
        <v>January</v>
      </c>
      <c r="J192" s="12">
        <f>MONTH(Dataset[[#This Row],[Purchase_Date]])</f>
        <v>1</v>
      </c>
      <c r="K192" s="13" t="str">
        <f>TEXT(Dataset[[#This Row],[Purchase_Date]],"mm - [$-409]mmmm")</f>
        <v>01 - January</v>
      </c>
      <c r="L192" s="11" t="str">
        <f>IF(Dataset[[#This Row],[Purchase_Date]]="","",YEAR(Dataset[[#This Row],[Purchase_Date]]))</f>
        <v/>
      </c>
      <c r="M192" s="11" t="str" cm="1">
        <f t="array" ref="M192">_xlfn.IFS(B192&lt;=25, "Young Adults", B192&lt;=35, "Emerging Professionals", B192&lt;=50, "Established Adults", TRUE, "Mature Customers")</f>
        <v>Emerging Professionals</v>
      </c>
      <c r="N192" s="11" t="str">
        <f>IF(Dataset[[#This Row],[Total_Spent (€)]]&lt;10,"Low Spender",IF(Dataset[[#This Row],[Total_Spent (€)]]&lt;25,"Medium Spender","High Spender"))</f>
        <v>Low Spender</v>
      </c>
    </row>
    <row r="193" spans="1:14" x14ac:dyDescent="0.2">
      <c r="A193" s="14" t="s">
        <v>584</v>
      </c>
      <c r="B193" s="11">
        <v>28</v>
      </c>
      <c r="C193" s="11" t="s">
        <v>86</v>
      </c>
      <c r="D193" s="11">
        <v>24.02</v>
      </c>
      <c r="E193" s="11" t="s">
        <v>507</v>
      </c>
      <c r="F193" s="11" t="s">
        <v>57</v>
      </c>
      <c r="G193" s="11">
        <v>1</v>
      </c>
      <c r="H193" s="11">
        <v>8.23</v>
      </c>
      <c r="I193" s="11" t="str">
        <f>TEXT(Dataset[[#This Row],[Purchase_Date]],"[$-409]mmmm")</f>
        <v>February</v>
      </c>
      <c r="J193" s="12">
        <f>MONTH(Dataset[[#This Row],[Purchase_Date]])</f>
        <v>2</v>
      </c>
      <c r="K193" s="13" t="str">
        <f>TEXT(Dataset[[#This Row],[Purchase_Date]],"mm - [$-409]mmmm")</f>
        <v>02 - February</v>
      </c>
      <c r="L193" s="11">
        <f>IF(Dataset[[#This Row],[Purchase_Date]]="","",YEAR(Dataset[[#This Row],[Purchase_Date]]))</f>
        <v>2025</v>
      </c>
      <c r="M193" s="11" t="str" cm="1">
        <f t="array" ref="M193">_xlfn.IFS(B193&lt;=25, "Young Adults", B193&lt;=35, "Emerging Professionals", B193&lt;=50, "Established Adults", TRUE, "Mature Customers")</f>
        <v>Emerging Professionals</v>
      </c>
      <c r="N193" s="11" t="str">
        <f>IF(Dataset[[#This Row],[Total_Spent (€)]]&lt;10,"Low Spender",IF(Dataset[[#This Row],[Total_Spent (€)]]&lt;25,"Medium Spender","High Spender"))</f>
        <v>Medium Spender</v>
      </c>
    </row>
    <row r="194" spans="1:14" x14ac:dyDescent="0.2">
      <c r="A194" s="14" t="s">
        <v>583</v>
      </c>
      <c r="B194" s="11">
        <v>32</v>
      </c>
      <c r="C194" s="11" t="s">
        <v>844</v>
      </c>
      <c r="D194" s="11">
        <v>21.5</v>
      </c>
      <c r="E194" s="11" t="s">
        <v>142</v>
      </c>
      <c r="F194" s="11" t="s">
        <v>322</v>
      </c>
      <c r="G194" s="11">
        <v>1</v>
      </c>
      <c r="H194" s="11">
        <v>5.61</v>
      </c>
      <c r="I194" s="11" t="str">
        <f>TEXT(Dataset[[#This Row],[Purchase_Date]],"[$-409]mmmm")</f>
        <v>September</v>
      </c>
      <c r="J194" s="12">
        <f>MONTH(Dataset[[#This Row],[Purchase_Date]])</f>
        <v>9</v>
      </c>
      <c r="K194" s="13" t="str">
        <f>TEXT(Dataset[[#This Row],[Purchase_Date]],"mm - [$-409]mmmm")</f>
        <v>09 - September</v>
      </c>
      <c r="L194" s="11">
        <f>IF(Dataset[[#This Row],[Purchase_Date]]="","",YEAR(Dataset[[#This Row],[Purchase_Date]]))</f>
        <v>2024</v>
      </c>
      <c r="M194" s="11" t="str" cm="1">
        <f t="array" ref="M194">_xlfn.IFS(B194&lt;=25, "Young Adults", B194&lt;=35, "Emerging Professionals", B194&lt;=50, "Established Adults", TRUE, "Mature Customers")</f>
        <v>Emerging Professionals</v>
      </c>
      <c r="N194" s="11" t="str">
        <f>IF(Dataset[[#This Row],[Total_Spent (€)]]&lt;10,"Low Spender",IF(Dataset[[#This Row],[Total_Spent (€)]]&lt;25,"Medium Spender","High Spender"))</f>
        <v>Medium Spender</v>
      </c>
    </row>
    <row r="195" spans="1:14" x14ac:dyDescent="0.2">
      <c r="A195" s="14" t="s">
        <v>582</v>
      </c>
      <c r="B195" s="11">
        <v>47</v>
      </c>
      <c r="C195" s="11" t="s">
        <v>20</v>
      </c>
      <c r="D195" s="11"/>
      <c r="F195" s="11" t="s">
        <v>162</v>
      </c>
      <c r="G195" s="11">
        <v>0</v>
      </c>
      <c r="H195" s="11">
        <v>7.85</v>
      </c>
      <c r="I195" s="11" t="str">
        <f>TEXT(Dataset[[#This Row],[Purchase_Date]],"[$-409]mmmm")</f>
        <v>January</v>
      </c>
      <c r="J195" s="12">
        <f>MONTH(Dataset[[#This Row],[Purchase_Date]])</f>
        <v>1</v>
      </c>
      <c r="K195" s="13" t="str">
        <f>TEXT(Dataset[[#This Row],[Purchase_Date]],"mm - [$-409]mmmm")</f>
        <v>01 - January</v>
      </c>
      <c r="L195" s="11" t="str">
        <f>IF(Dataset[[#This Row],[Purchase_Date]]="","",YEAR(Dataset[[#This Row],[Purchase_Date]]))</f>
        <v/>
      </c>
      <c r="M195" s="11" t="str" cm="1">
        <f t="array" ref="M195">_xlfn.IFS(B195&lt;=25, "Young Adults", B195&lt;=35, "Emerging Professionals", B195&lt;=50, "Established Adults", TRUE, "Mature Customers")</f>
        <v>Established Adults</v>
      </c>
      <c r="N195" s="11" t="str">
        <f>IF(Dataset[[#This Row],[Total_Spent (€)]]&lt;10,"Low Spender",IF(Dataset[[#This Row],[Total_Spent (€)]]&lt;25,"Medium Spender","High Spender"))</f>
        <v>Low Spender</v>
      </c>
    </row>
    <row r="196" spans="1:14" x14ac:dyDescent="0.2">
      <c r="A196" s="14" t="s">
        <v>581</v>
      </c>
      <c r="B196" s="11">
        <v>28</v>
      </c>
      <c r="C196" s="11" t="s">
        <v>43</v>
      </c>
      <c r="D196" s="11">
        <v>12.52</v>
      </c>
      <c r="E196" s="11" t="s">
        <v>148</v>
      </c>
      <c r="F196" s="11" t="s">
        <v>462</v>
      </c>
      <c r="G196" s="11">
        <v>1</v>
      </c>
      <c r="H196" s="11">
        <v>7.77</v>
      </c>
      <c r="I196" s="11" t="str">
        <f>TEXT(Dataset[[#This Row],[Purchase_Date]],"[$-409]mmmm")</f>
        <v>February</v>
      </c>
      <c r="J196" s="12">
        <f>MONTH(Dataset[[#This Row],[Purchase_Date]])</f>
        <v>2</v>
      </c>
      <c r="K196" s="13" t="str">
        <f>TEXT(Dataset[[#This Row],[Purchase_Date]],"mm - [$-409]mmmm")</f>
        <v>02 - February</v>
      </c>
      <c r="L196" s="11">
        <f>IF(Dataset[[#This Row],[Purchase_Date]]="","",YEAR(Dataset[[#This Row],[Purchase_Date]]))</f>
        <v>2025</v>
      </c>
      <c r="M196" s="11" t="str" cm="1">
        <f t="array" ref="M196">_xlfn.IFS(B196&lt;=25, "Young Adults", B196&lt;=35, "Emerging Professionals", B196&lt;=50, "Established Adults", TRUE, "Mature Customers")</f>
        <v>Emerging Professionals</v>
      </c>
      <c r="N196" s="11" t="str">
        <f>IF(Dataset[[#This Row],[Total_Spent (€)]]&lt;10,"Low Spender",IF(Dataset[[#This Row],[Total_Spent (€)]]&lt;25,"Medium Spender","High Spender"))</f>
        <v>Medium Spender</v>
      </c>
    </row>
    <row r="197" spans="1:14" x14ac:dyDescent="0.2">
      <c r="A197" s="14" t="s">
        <v>580</v>
      </c>
      <c r="B197" s="11">
        <v>32</v>
      </c>
      <c r="C197" s="11" t="s">
        <v>75</v>
      </c>
      <c r="D197" s="11"/>
      <c r="F197" s="11" t="s">
        <v>91</v>
      </c>
      <c r="G197" s="11">
        <v>0</v>
      </c>
      <c r="H197" s="11">
        <v>2.2400000000000002</v>
      </c>
      <c r="I197" s="11" t="str">
        <f>TEXT(Dataset[[#This Row],[Purchase_Date]],"[$-409]mmmm")</f>
        <v>January</v>
      </c>
      <c r="J197" s="12">
        <f>MONTH(Dataset[[#This Row],[Purchase_Date]])</f>
        <v>1</v>
      </c>
      <c r="K197" s="13" t="str">
        <f>TEXT(Dataset[[#This Row],[Purchase_Date]],"mm - [$-409]mmmm")</f>
        <v>01 - January</v>
      </c>
      <c r="L197" s="11" t="str">
        <f>IF(Dataset[[#This Row],[Purchase_Date]]="","",YEAR(Dataset[[#This Row],[Purchase_Date]]))</f>
        <v/>
      </c>
      <c r="M197" s="11" t="str" cm="1">
        <f t="array" ref="M197">_xlfn.IFS(B197&lt;=25, "Young Adults", B197&lt;=35, "Emerging Professionals", B197&lt;=50, "Established Adults", TRUE, "Mature Customers")</f>
        <v>Emerging Professionals</v>
      </c>
      <c r="N197" s="11" t="str">
        <f>IF(Dataset[[#This Row],[Total_Spent (€)]]&lt;10,"Low Spender",IF(Dataset[[#This Row],[Total_Spent (€)]]&lt;25,"Medium Spender","High Spender"))</f>
        <v>Low Spender</v>
      </c>
    </row>
    <row r="198" spans="1:14" x14ac:dyDescent="0.2">
      <c r="A198" s="14" t="s">
        <v>579</v>
      </c>
      <c r="B198" s="11">
        <v>22</v>
      </c>
      <c r="C198" s="11" t="s">
        <v>846</v>
      </c>
      <c r="D198" s="11">
        <v>14.25</v>
      </c>
      <c r="E198" s="11" t="s">
        <v>526</v>
      </c>
      <c r="F198" s="11" t="s">
        <v>555</v>
      </c>
      <c r="G198" s="11">
        <v>1</v>
      </c>
      <c r="H198" s="11">
        <v>8.16</v>
      </c>
      <c r="I198" s="11" t="str">
        <f>TEXT(Dataset[[#This Row],[Purchase_Date]],"[$-409]mmmm")</f>
        <v>November</v>
      </c>
      <c r="J198" s="12">
        <f>MONTH(Dataset[[#This Row],[Purchase_Date]])</f>
        <v>11</v>
      </c>
      <c r="K198" s="13" t="str">
        <f>TEXT(Dataset[[#This Row],[Purchase_Date]],"mm - [$-409]mmmm")</f>
        <v>11 - November</v>
      </c>
      <c r="L198" s="11">
        <f>IF(Dataset[[#This Row],[Purchase_Date]]="","",YEAR(Dataset[[#This Row],[Purchase_Date]]))</f>
        <v>2024</v>
      </c>
      <c r="M198" s="11" t="str" cm="1">
        <f t="array" ref="M198">_xlfn.IFS(B198&lt;=25, "Young Adults", B198&lt;=35, "Emerging Professionals", B198&lt;=50, "Established Adults", TRUE, "Mature Customers")</f>
        <v>Young Adults</v>
      </c>
      <c r="N198" s="11" t="str">
        <f>IF(Dataset[[#This Row],[Total_Spent (€)]]&lt;10,"Low Spender",IF(Dataset[[#This Row],[Total_Spent (€)]]&lt;25,"Medium Spender","High Spender"))</f>
        <v>Medium Spender</v>
      </c>
    </row>
    <row r="199" spans="1:14" x14ac:dyDescent="0.2">
      <c r="A199" s="14" t="s">
        <v>578</v>
      </c>
      <c r="B199" s="11">
        <v>48</v>
      </c>
      <c r="C199" s="11" t="s">
        <v>86</v>
      </c>
      <c r="D199" s="11"/>
      <c r="F199" s="11" t="s">
        <v>577</v>
      </c>
      <c r="G199" s="11">
        <v>0</v>
      </c>
      <c r="H199" s="11">
        <v>4.4800000000000004</v>
      </c>
      <c r="I199" s="11" t="str">
        <f>TEXT(Dataset[[#This Row],[Purchase_Date]],"[$-409]mmmm")</f>
        <v>January</v>
      </c>
      <c r="J199" s="12">
        <f>MONTH(Dataset[[#This Row],[Purchase_Date]])</f>
        <v>1</v>
      </c>
      <c r="K199" s="13" t="str">
        <f>TEXT(Dataset[[#This Row],[Purchase_Date]],"mm - [$-409]mmmm")</f>
        <v>01 - January</v>
      </c>
      <c r="L199" s="11" t="str">
        <f>IF(Dataset[[#This Row],[Purchase_Date]]="","",YEAR(Dataset[[#This Row],[Purchase_Date]]))</f>
        <v/>
      </c>
      <c r="M199" s="11" t="str" cm="1">
        <f t="array" ref="M199">_xlfn.IFS(B199&lt;=25, "Young Adults", B199&lt;=35, "Emerging Professionals", B199&lt;=50, "Established Adults", TRUE, "Mature Customers")</f>
        <v>Established Adults</v>
      </c>
      <c r="N199" s="11" t="str">
        <f>IF(Dataset[[#This Row],[Total_Spent (€)]]&lt;10,"Low Spender",IF(Dataset[[#This Row],[Total_Spent (€)]]&lt;25,"Medium Spender","High Spender"))</f>
        <v>Low Spender</v>
      </c>
    </row>
    <row r="200" spans="1:14" x14ac:dyDescent="0.2">
      <c r="A200" s="14" t="s">
        <v>576</v>
      </c>
      <c r="B200" s="11">
        <v>21</v>
      </c>
      <c r="C200" s="11" t="s">
        <v>844</v>
      </c>
      <c r="D200" s="11"/>
      <c r="F200" s="11" t="s">
        <v>390</v>
      </c>
      <c r="G200" s="11">
        <v>0</v>
      </c>
      <c r="H200" s="11">
        <v>9.8699999999999992</v>
      </c>
      <c r="I200" s="11" t="str">
        <f>TEXT(Dataset[[#This Row],[Purchase_Date]],"[$-409]mmmm")</f>
        <v>January</v>
      </c>
      <c r="J200" s="12">
        <f>MONTH(Dataset[[#This Row],[Purchase_Date]])</f>
        <v>1</v>
      </c>
      <c r="K200" s="13" t="str">
        <f>TEXT(Dataset[[#This Row],[Purchase_Date]],"mm - [$-409]mmmm")</f>
        <v>01 - January</v>
      </c>
      <c r="L200" s="11" t="str">
        <f>IF(Dataset[[#This Row],[Purchase_Date]]="","",YEAR(Dataset[[#This Row],[Purchase_Date]]))</f>
        <v/>
      </c>
      <c r="M200" s="11" t="str" cm="1">
        <f t="array" ref="M200">_xlfn.IFS(B200&lt;=25, "Young Adults", B200&lt;=35, "Emerging Professionals", B200&lt;=50, "Established Adults", TRUE, "Mature Customers")</f>
        <v>Young Adults</v>
      </c>
      <c r="N200" s="11" t="str">
        <f>IF(Dataset[[#This Row],[Total_Spent (€)]]&lt;10,"Low Spender",IF(Dataset[[#This Row],[Total_Spent (€)]]&lt;25,"Medium Spender","High Spender"))</f>
        <v>Low Spender</v>
      </c>
    </row>
    <row r="201" spans="1:14" x14ac:dyDescent="0.2">
      <c r="A201" s="14" t="s">
        <v>575</v>
      </c>
      <c r="B201" s="11">
        <v>29</v>
      </c>
      <c r="C201" s="11" t="s">
        <v>846</v>
      </c>
      <c r="D201" s="11"/>
      <c r="F201" s="11" t="s">
        <v>574</v>
      </c>
      <c r="G201" s="11">
        <v>0</v>
      </c>
      <c r="H201" s="11">
        <v>5.68</v>
      </c>
      <c r="I201" s="11" t="str">
        <f>TEXT(Dataset[[#This Row],[Purchase_Date]],"[$-409]mmmm")</f>
        <v>January</v>
      </c>
      <c r="J201" s="12">
        <f>MONTH(Dataset[[#This Row],[Purchase_Date]])</f>
        <v>1</v>
      </c>
      <c r="K201" s="13" t="str">
        <f>TEXT(Dataset[[#This Row],[Purchase_Date]],"mm - [$-409]mmmm")</f>
        <v>01 - January</v>
      </c>
      <c r="L201" s="11" t="str">
        <f>IF(Dataset[[#This Row],[Purchase_Date]]="","",YEAR(Dataset[[#This Row],[Purchase_Date]]))</f>
        <v/>
      </c>
      <c r="M201" s="11" t="str" cm="1">
        <f t="array" ref="M201">_xlfn.IFS(B201&lt;=25, "Young Adults", B201&lt;=35, "Emerging Professionals", B201&lt;=50, "Established Adults", TRUE, "Mature Customers")</f>
        <v>Emerging Professionals</v>
      </c>
      <c r="N201" s="11" t="str">
        <f>IF(Dataset[[#This Row],[Total_Spent (€)]]&lt;10,"Low Spender",IF(Dataset[[#This Row],[Total_Spent (€)]]&lt;25,"Medium Spender","High Spender"))</f>
        <v>Low Spender</v>
      </c>
    </row>
    <row r="202" spans="1:14" x14ac:dyDescent="0.2">
      <c r="A202" s="14" t="s">
        <v>573</v>
      </c>
      <c r="B202" s="11">
        <v>22</v>
      </c>
      <c r="C202" s="11" t="s">
        <v>61</v>
      </c>
      <c r="D202" s="11">
        <v>15.9</v>
      </c>
      <c r="E202" s="11" t="s">
        <v>8</v>
      </c>
      <c r="F202" s="11" t="s">
        <v>209</v>
      </c>
      <c r="G202" s="11">
        <v>1</v>
      </c>
      <c r="H202" s="11">
        <v>3.23</v>
      </c>
      <c r="I202" s="11" t="str">
        <f>TEXT(Dataset[[#This Row],[Purchase_Date]],"[$-409]mmmm")</f>
        <v>April</v>
      </c>
      <c r="J202" s="12">
        <f>MONTH(Dataset[[#This Row],[Purchase_Date]])</f>
        <v>4</v>
      </c>
      <c r="K202" s="13" t="str">
        <f>TEXT(Dataset[[#This Row],[Purchase_Date]],"mm - [$-409]mmmm")</f>
        <v>04 - April</v>
      </c>
      <c r="L202" s="11">
        <f>IF(Dataset[[#This Row],[Purchase_Date]]="","",YEAR(Dataset[[#This Row],[Purchase_Date]]))</f>
        <v>2025</v>
      </c>
      <c r="M202" s="11" t="str" cm="1">
        <f t="array" ref="M202">_xlfn.IFS(B202&lt;=25, "Young Adults", B202&lt;=35, "Emerging Professionals", B202&lt;=50, "Established Adults", TRUE, "Mature Customers")</f>
        <v>Young Adults</v>
      </c>
      <c r="N202" s="11" t="str">
        <f>IF(Dataset[[#This Row],[Total_Spent (€)]]&lt;10,"Low Spender",IF(Dataset[[#This Row],[Total_Spent (€)]]&lt;25,"Medium Spender","High Spender"))</f>
        <v>Medium Spender</v>
      </c>
    </row>
    <row r="203" spans="1:14" x14ac:dyDescent="0.2">
      <c r="A203" s="14" t="s">
        <v>572</v>
      </c>
      <c r="B203" s="11">
        <v>39</v>
      </c>
      <c r="C203" s="11" t="s">
        <v>846</v>
      </c>
      <c r="D203" s="11">
        <v>27.42</v>
      </c>
      <c r="E203" s="11" t="s">
        <v>571</v>
      </c>
      <c r="F203" s="11" t="s">
        <v>571</v>
      </c>
      <c r="G203" s="11">
        <v>1</v>
      </c>
      <c r="H203" s="11">
        <v>3.57</v>
      </c>
      <c r="I203" s="11" t="str">
        <f>TEXT(Dataset[[#This Row],[Purchase_Date]],"[$-409]mmmm")</f>
        <v>March</v>
      </c>
      <c r="J203" s="12">
        <f>MONTH(Dataset[[#This Row],[Purchase_Date]])</f>
        <v>3</v>
      </c>
      <c r="K203" s="13" t="str">
        <f>TEXT(Dataset[[#This Row],[Purchase_Date]],"mm - [$-409]mmmm")</f>
        <v>03 - March</v>
      </c>
      <c r="L203" s="11">
        <f>IF(Dataset[[#This Row],[Purchase_Date]]="","",YEAR(Dataset[[#This Row],[Purchase_Date]]))</f>
        <v>2025</v>
      </c>
      <c r="M203" s="11" t="str" cm="1">
        <f t="array" ref="M203">_xlfn.IFS(B203&lt;=25, "Young Adults", B203&lt;=35, "Emerging Professionals", B203&lt;=50, "Established Adults", TRUE, "Mature Customers")</f>
        <v>Established Adults</v>
      </c>
      <c r="N203" s="11" t="str">
        <f>IF(Dataset[[#This Row],[Total_Spent (€)]]&lt;10,"Low Spender",IF(Dataset[[#This Row],[Total_Spent (€)]]&lt;25,"Medium Spender","High Spender"))</f>
        <v>High Spender</v>
      </c>
    </row>
    <row r="204" spans="1:14" x14ac:dyDescent="0.2">
      <c r="A204" s="14" t="s">
        <v>570</v>
      </c>
      <c r="B204" s="11">
        <v>40</v>
      </c>
      <c r="C204" s="11" t="s">
        <v>843</v>
      </c>
      <c r="D204" s="11">
        <v>20.7</v>
      </c>
      <c r="E204" s="11" t="s">
        <v>244</v>
      </c>
      <c r="F204" s="11" t="s">
        <v>200</v>
      </c>
      <c r="G204" s="11">
        <v>1</v>
      </c>
      <c r="H204" s="11">
        <v>2.41</v>
      </c>
      <c r="I204" s="11" t="str">
        <f>TEXT(Dataset[[#This Row],[Purchase_Date]],"[$-409]mmmm")</f>
        <v>August</v>
      </c>
      <c r="J204" s="12">
        <f>MONTH(Dataset[[#This Row],[Purchase_Date]])</f>
        <v>8</v>
      </c>
      <c r="K204" s="13" t="str">
        <f>TEXT(Dataset[[#This Row],[Purchase_Date]],"mm - [$-409]mmmm")</f>
        <v>08 - August</v>
      </c>
      <c r="L204" s="11">
        <f>IF(Dataset[[#This Row],[Purchase_Date]]="","",YEAR(Dataset[[#This Row],[Purchase_Date]]))</f>
        <v>2024</v>
      </c>
      <c r="M204" s="11" t="str" cm="1">
        <f t="array" ref="M204">_xlfn.IFS(B204&lt;=25, "Young Adults", B204&lt;=35, "Emerging Professionals", B204&lt;=50, "Established Adults", TRUE, "Mature Customers")</f>
        <v>Established Adults</v>
      </c>
      <c r="N204" s="11" t="str">
        <f>IF(Dataset[[#This Row],[Total_Spent (€)]]&lt;10,"Low Spender",IF(Dataset[[#This Row],[Total_Spent (€)]]&lt;25,"Medium Spender","High Spender"))</f>
        <v>Medium Spender</v>
      </c>
    </row>
    <row r="205" spans="1:14" x14ac:dyDescent="0.2">
      <c r="A205" s="14" t="s">
        <v>569</v>
      </c>
      <c r="B205" s="11">
        <v>51</v>
      </c>
      <c r="C205" s="11" t="s">
        <v>847</v>
      </c>
      <c r="D205" s="11"/>
      <c r="F205" s="11" t="s">
        <v>399</v>
      </c>
      <c r="G205" s="11">
        <v>0</v>
      </c>
      <c r="H205" s="11">
        <v>6.83</v>
      </c>
      <c r="I205" s="11" t="str">
        <f>TEXT(Dataset[[#This Row],[Purchase_Date]],"[$-409]mmmm")</f>
        <v>January</v>
      </c>
      <c r="J205" s="12">
        <f>MONTH(Dataset[[#This Row],[Purchase_Date]])</f>
        <v>1</v>
      </c>
      <c r="K205" s="13" t="str">
        <f>TEXT(Dataset[[#This Row],[Purchase_Date]],"mm - [$-409]mmmm")</f>
        <v>01 - January</v>
      </c>
      <c r="L205" s="11" t="str">
        <f>IF(Dataset[[#This Row],[Purchase_Date]]="","",YEAR(Dataset[[#This Row],[Purchase_Date]]))</f>
        <v/>
      </c>
      <c r="M205" s="11" t="str" cm="1">
        <f t="array" ref="M205">_xlfn.IFS(B205&lt;=25, "Young Adults", B205&lt;=35, "Emerging Professionals", B205&lt;=50, "Established Adults", TRUE, "Mature Customers")</f>
        <v>Mature Customers</v>
      </c>
      <c r="N205" s="11" t="str">
        <f>IF(Dataset[[#This Row],[Total_Spent (€)]]&lt;10,"Low Spender",IF(Dataset[[#This Row],[Total_Spent (€)]]&lt;25,"Medium Spender","High Spender"))</f>
        <v>Low Spender</v>
      </c>
    </row>
    <row r="206" spans="1:14" x14ac:dyDescent="0.2">
      <c r="A206" s="14" t="s">
        <v>568</v>
      </c>
      <c r="B206" s="11">
        <v>19</v>
      </c>
      <c r="C206" s="11" t="s">
        <v>844</v>
      </c>
      <c r="D206" s="11"/>
      <c r="F206" s="11" t="s">
        <v>258</v>
      </c>
      <c r="G206" s="11">
        <v>0</v>
      </c>
      <c r="H206" s="11">
        <v>6.21</v>
      </c>
      <c r="I206" s="11" t="str">
        <f>TEXT(Dataset[[#This Row],[Purchase_Date]],"[$-409]mmmm")</f>
        <v>January</v>
      </c>
      <c r="J206" s="12">
        <f>MONTH(Dataset[[#This Row],[Purchase_Date]])</f>
        <v>1</v>
      </c>
      <c r="K206" s="13" t="str">
        <f>TEXT(Dataset[[#This Row],[Purchase_Date]],"mm - [$-409]mmmm")</f>
        <v>01 - January</v>
      </c>
      <c r="L206" s="11" t="str">
        <f>IF(Dataset[[#This Row],[Purchase_Date]]="","",YEAR(Dataset[[#This Row],[Purchase_Date]]))</f>
        <v/>
      </c>
      <c r="M206" s="11" t="str" cm="1">
        <f t="array" ref="M206">_xlfn.IFS(B206&lt;=25, "Young Adults", B206&lt;=35, "Emerging Professionals", B206&lt;=50, "Established Adults", TRUE, "Mature Customers")</f>
        <v>Young Adults</v>
      </c>
      <c r="N206" s="11" t="str">
        <f>IF(Dataset[[#This Row],[Total_Spent (€)]]&lt;10,"Low Spender",IF(Dataset[[#This Row],[Total_Spent (€)]]&lt;25,"Medium Spender","High Spender"))</f>
        <v>Low Spender</v>
      </c>
    </row>
    <row r="207" spans="1:14" x14ac:dyDescent="0.2">
      <c r="A207" s="14" t="s">
        <v>567</v>
      </c>
      <c r="B207" s="11">
        <v>29</v>
      </c>
      <c r="C207" s="11" t="s">
        <v>844</v>
      </c>
      <c r="D207" s="11">
        <v>19.920000000000002</v>
      </c>
      <c r="E207" s="11" t="s">
        <v>316</v>
      </c>
      <c r="F207" s="11" t="s">
        <v>462</v>
      </c>
      <c r="G207" s="11">
        <v>1</v>
      </c>
      <c r="H207" s="11">
        <v>5.5</v>
      </c>
      <c r="I207" s="11" t="str">
        <f>TEXT(Dataset[[#This Row],[Purchase_Date]],"[$-409]mmmm")</f>
        <v>February</v>
      </c>
      <c r="J207" s="12">
        <f>MONTH(Dataset[[#This Row],[Purchase_Date]])</f>
        <v>2</v>
      </c>
      <c r="K207" s="13" t="str">
        <f>TEXT(Dataset[[#This Row],[Purchase_Date]],"mm - [$-409]mmmm")</f>
        <v>02 - February</v>
      </c>
      <c r="L207" s="11">
        <f>IF(Dataset[[#This Row],[Purchase_Date]]="","",YEAR(Dataset[[#This Row],[Purchase_Date]]))</f>
        <v>2025</v>
      </c>
      <c r="M207" s="11" t="str" cm="1">
        <f t="array" ref="M207">_xlfn.IFS(B207&lt;=25, "Young Adults", B207&lt;=35, "Emerging Professionals", B207&lt;=50, "Established Adults", TRUE, "Mature Customers")</f>
        <v>Emerging Professionals</v>
      </c>
      <c r="N207" s="11" t="str">
        <f>IF(Dataset[[#This Row],[Total_Spent (€)]]&lt;10,"Low Spender",IF(Dataset[[#This Row],[Total_Spent (€)]]&lt;25,"Medium Spender","High Spender"))</f>
        <v>Medium Spender</v>
      </c>
    </row>
    <row r="208" spans="1:14" x14ac:dyDescent="0.2">
      <c r="A208" s="14" t="s">
        <v>566</v>
      </c>
      <c r="B208" s="11">
        <v>25</v>
      </c>
      <c r="C208" s="11" t="s">
        <v>30</v>
      </c>
      <c r="D208" s="11"/>
      <c r="F208" s="11" t="s">
        <v>565</v>
      </c>
      <c r="G208" s="11">
        <v>0</v>
      </c>
      <c r="H208" s="11">
        <v>7.96</v>
      </c>
      <c r="I208" s="11" t="str">
        <f>TEXT(Dataset[[#This Row],[Purchase_Date]],"[$-409]mmmm")</f>
        <v>January</v>
      </c>
      <c r="J208" s="12">
        <f>MONTH(Dataset[[#This Row],[Purchase_Date]])</f>
        <v>1</v>
      </c>
      <c r="K208" s="13" t="str">
        <f>TEXT(Dataset[[#This Row],[Purchase_Date]],"mm - [$-409]mmmm")</f>
        <v>01 - January</v>
      </c>
      <c r="L208" s="11" t="str">
        <f>IF(Dataset[[#This Row],[Purchase_Date]]="","",YEAR(Dataset[[#This Row],[Purchase_Date]]))</f>
        <v/>
      </c>
      <c r="M208" s="11" t="str" cm="1">
        <f t="array" ref="M208">_xlfn.IFS(B208&lt;=25, "Young Adults", B208&lt;=35, "Emerging Professionals", B208&lt;=50, "Established Adults", TRUE, "Mature Customers")</f>
        <v>Young Adults</v>
      </c>
      <c r="N208" s="11" t="str">
        <f>IF(Dataset[[#This Row],[Total_Spent (€)]]&lt;10,"Low Spender",IF(Dataset[[#This Row],[Total_Spent (€)]]&lt;25,"Medium Spender","High Spender"))</f>
        <v>Low Spender</v>
      </c>
    </row>
    <row r="209" spans="1:14" x14ac:dyDescent="0.2">
      <c r="A209" s="14" t="s">
        <v>564</v>
      </c>
      <c r="B209" s="11">
        <v>28</v>
      </c>
      <c r="C209" s="11" t="s">
        <v>846</v>
      </c>
      <c r="D209" s="11"/>
      <c r="F209" s="11" t="s">
        <v>242</v>
      </c>
      <c r="G209" s="11">
        <v>0</v>
      </c>
      <c r="H209" s="11">
        <v>5.97</v>
      </c>
      <c r="I209" s="11" t="str">
        <f>TEXT(Dataset[[#This Row],[Purchase_Date]],"[$-409]mmmm")</f>
        <v>January</v>
      </c>
      <c r="J209" s="12">
        <f>MONTH(Dataset[[#This Row],[Purchase_Date]])</f>
        <v>1</v>
      </c>
      <c r="K209" s="13" t="str">
        <f>TEXT(Dataset[[#This Row],[Purchase_Date]],"mm - [$-409]mmmm")</f>
        <v>01 - January</v>
      </c>
      <c r="L209" s="11" t="str">
        <f>IF(Dataset[[#This Row],[Purchase_Date]]="","",YEAR(Dataset[[#This Row],[Purchase_Date]]))</f>
        <v/>
      </c>
      <c r="M209" s="11" t="str" cm="1">
        <f t="array" ref="M209">_xlfn.IFS(B209&lt;=25, "Young Adults", B209&lt;=35, "Emerging Professionals", B209&lt;=50, "Established Adults", TRUE, "Mature Customers")</f>
        <v>Emerging Professionals</v>
      </c>
      <c r="N209" s="11" t="str">
        <f>IF(Dataset[[#This Row],[Total_Spent (€)]]&lt;10,"Low Spender",IF(Dataset[[#This Row],[Total_Spent (€)]]&lt;25,"Medium Spender","High Spender"))</f>
        <v>Low Spender</v>
      </c>
    </row>
    <row r="210" spans="1:14" x14ac:dyDescent="0.2">
      <c r="A210" s="14" t="s">
        <v>563</v>
      </c>
      <c r="B210" s="11">
        <v>37</v>
      </c>
      <c r="C210" s="11" t="s">
        <v>843</v>
      </c>
      <c r="D210" s="11">
        <v>14.98</v>
      </c>
      <c r="E210" s="11" t="s">
        <v>370</v>
      </c>
      <c r="F210" s="11" t="s">
        <v>369</v>
      </c>
      <c r="G210" s="11">
        <v>1</v>
      </c>
      <c r="H210" s="11">
        <v>6.67</v>
      </c>
      <c r="I210" s="11" t="str">
        <f>TEXT(Dataset[[#This Row],[Purchase_Date]],"[$-409]mmmm")</f>
        <v>May</v>
      </c>
      <c r="J210" s="12">
        <f>MONTH(Dataset[[#This Row],[Purchase_Date]])</f>
        <v>5</v>
      </c>
      <c r="K210" s="13" t="str">
        <f>TEXT(Dataset[[#This Row],[Purchase_Date]],"mm - [$-409]mmmm")</f>
        <v>05 - May</v>
      </c>
      <c r="L210" s="11">
        <f>IF(Dataset[[#This Row],[Purchase_Date]]="","",YEAR(Dataset[[#This Row],[Purchase_Date]]))</f>
        <v>2025</v>
      </c>
      <c r="M210" s="11" t="str" cm="1">
        <f t="array" ref="M210">_xlfn.IFS(B210&lt;=25, "Young Adults", B210&lt;=35, "Emerging Professionals", B210&lt;=50, "Established Adults", TRUE, "Mature Customers")</f>
        <v>Established Adults</v>
      </c>
      <c r="N210" s="11" t="str">
        <f>IF(Dataset[[#This Row],[Total_Spent (€)]]&lt;10,"Low Spender",IF(Dataset[[#This Row],[Total_Spent (€)]]&lt;25,"Medium Spender","High Spender"))</f>
        <v>Medium Spender</v>
      </c>
    </row>
    <row r="211" spans="1:14" x14ac:dyDescent="0.2">
      <c r="A211" s="14" t="s">
        <v>562</v>
      </c>
      <c r="B211" s="11">
        <v>20</v>
      </c>
      <c r="C211" s="11" t="s">
        <v>30</v>
      </c>
      <c r="D211" s="11"/>
      <c r="F211" s="11" t="s">
        <v>63</v>
      </c>
      <c r="G211" s="11">
        <v>0</v>
      </c>
      <c r="H211" s="11">
        <v>4.7300000000000004</v>
      </c>
      <c r="I211" s="11" t="str">
        <f>TEXT(Dataset[[#This Row],[Purchase_Date]],"[$-409]mmmm")</f>
        <v>January</v>
      </c>
      <c r="J211" s="12">
        <f>MONTH(Dataset[[#This Row],[Purchase_Date]])</f>
        <v>1</v>
      </c>
      <c r="K211" s="13" t="str">
        <f>TEXT(Dataset[[#This Row],[Purchase_Date]],"mm - [$-409]mmmm")</f>
        <v>01 - January</v>
      </c>
      <c r="L211" s="11" t="str">
        <f>IF(Dataset[[#This Row],[Purchase_Date]]="","",YEAR(Dataset[[#This Row],[Purchase_Date]]))</f>
        <v/>
      </c>
      <c r="M211" s="11" t="str" cm="1">
        <f t="array" ref="M211">_xlfn.IFS(B211&lt;=25, "Young Adults", B211&lt;=35, "Emerging Professionals", B211&lt;=50, "Established Adults", TRUE, "Mature Customers")</f>
        <v>Young Adults</v>
      </c>
      <c r="N211" s="11" t="str">
        <f>IF(Dataset[[#This Row],[Total_Spent (€)]]&lt;10,"Low Spender",IF(Dataset[[#This Row],[Total_Spent (€)]]&lt;25,"Medium Spender","High Spender"))</f>
        <v>Low Spender</v>
      </c>
    </row>
    <row r="212" spans="1:14" x14ac:dyDescent="0.2">
      <c r="A212" s="14" t="s">
        <v>561</v>
      </c>
      <c r="B212" s="11">
        <v>26</v>
      </c>
      <c r="C212" s="11" t="s">
        <v>844</v>
      </c>
      <c r="D212" s="11"/>
      <c r="F212" s="11" t="s">
        <v>560</v>
      </c>
      <c r="G212" s="11">
        <v>0</v>
      </c>
      <c r="H212" s="11">
        <v>9.9</v>
      </c>
      <c r="I212" s="11" t="str">
        <f>TEXT(Dataset[[#This Row],[Purchase_Date]],"[$-409]mmmm")</f>
        <v>January</v>
      </c>
      <c r="J212" s="12">
        <f>MONTH(Dataset[[#This Row],[Purchase_Date]])</f>
        <v>1</v>
      </c>
      <c r="K212" s="13" t="str">
        <f>TEXT(Dataset[[#This Row],[Purchase_Date]],"mm - [$-409]mmmm")</f>
        <v>01 - January</v>
      </c>
      <c r="L212" s="11" t="str">
        <f>IF(Dataset[[#This Row],[Purchase_Date]]="","",YEAR(Dataset[[#This Row],[Purchase_Date]]))</f>
        <v/>
      </c>
      <c r="M212" s="11" t="str" cm="1">
        <f t="array" ref="M212">_xlfn.IFS(B212&lt;=25, "Young Adults", B212&lt;=35, "Emerging Professionals", B212&lt;=50, "Established Adults", TRUE, "Mature Customers")</f>
        <v>Emerging Professionals</v>
      </c>
      <c r="N212" s="11" t="str">
        <f>IF(Dataset[[#This Row],[Total_Spent (€)]]&lt;10,"Low Spender",IF(Dataset[[#This Row],[Total_Spent (€)]]&lt;25,"Medium Spender","High Spender"))</f>
        <v>Low Spender</v>
      </c>
    </row>
    <row r="213" spans="1:14" x14ac:dyDescent="0.2">
      <c r="A213" s="14" t="s">
        <v>559</v>
      </c>
      <c r="B213" s="11">
        <v>38</v>
      </c>
      <c r="C213" s="11" t="s">
        <v>20</v>
      </c>
      <c r="D213" s="11"/>
      <c r="F213" s="11" t="s">
        <v>198</v>
      </c>
      <c r="G213" s="11">
        <v>0</v>
      </c>
      <c r="H213" s="11">
        <v>9.4700000000000006</v>
      </c>
      <c r="I213" s="11" t="str">
        <f>TEXT(Dataset[[#This Row],[Purchase_Date]],"[$-409]mmmm")</f>
        <v>January</v>
      </c>
      <c r="J213" s="12">
        <f>MONTH(Dataset[[#This Row],[Purchase_Date]])</f>
        <v>1</v>
      </c>
      <c r="K213" s="13" t="str">
        <f>TEXT(Dataset[[#This Row],[Purchase_Date]],"mm - [$-409]mmmm")</f>
        <v>01 - January</v>
      </c>
      <c r="L213" s="11" t="str">
        <f>IF(Dataset[[#This Row],[Purchase_Date]]="","",YEAR(Dataset[[#This Row],[Purchase_Date]]))</f>
        <v/>
      </c>
      <c r="M213" s="11" t="str" cm="1">
        <f t="array" ref="M213">_xlfn.IFS(B213&lt;=25, "Young Adults", B213&lt;=35, "Emerging Professionals", B213&lt;=50, "Established Adults", TRUE, "Mature Customers")</f>
        <v>Established Adults</v>
      </c>
      <c r="N213" s="11" t="str">
        <f>IF(Dataset[[#This Row],[Total_Spent (€)]]&lt;10,"Low Spender",IF(Dataset[[#This Row],[Total_Spent (€)]]&lt;25,"Medium Spender","High Spender"))</f>
        <v>Low Spender</v>
      </c>
    </row>
    <row r="214" spans="1:14" x14ac:dyDescent="0.2">
      <c r="A214" s="14" t="s">
        <v>558</v>
      </c>
      <c r="B214" s="11">
        <v>49</v>
      </c>
      <c r="C214" s="11" t="s">
        <v>843</v>
      </c>
      <c r="D214" s="11"/>
      <c r="F214" s="11" t="s">
        <v>109</v>
      </c>
      <c r="G214" s="11">
        <v>0</v>
      </c>
      <c r="H214" s="11">
        <v>2.58</v>
      </c>
      <c r="I214" s="11" t="str">
        <f>TEXT(Dataset[[#This Row],[Purchase_Date]],"[$-409]mmmm")</f>
        <v>January</v>
      </c>
      <c r="J214" s="12">
        <f>MONTH(Dataset[[#This Row],[Purchase_Date]])</f>
        <v>1</v>
      </c>
      <c r="K214" s="13" t="str">
        <f>TEXT(Dataset[[#This Row],[Purchase_Date]],"mm - [$-409]mmmm")</f>
        <v>01 - January</v>
      </c>
      <c r="L214" s="11" t="str">
        <f>IF(Dataset[[#This Row],[Purchase_Date]]="","",YEAR(Dataset[[#This Row],[Purchase_Date]]))</f>
        <v/>
      </c>
      <c r="M214" s="11" t="str" cm="1">
        <f t="array" ref="M214">_xlfn.IFS(B214&lt;=25, "Young Adults", B214&lt;=35, "Emerging Professionals", B214&lt;=50, "Established Adults", TRUE, "Mature Customers")</f>
        <v>Established Adults</v>
      </c>
      <c r="N214" s="11" t="str">
        <f>IF(Dataset[[#This Row],[Total_Spent (€)]]&lt;10,"Low Spender",IF(Dataset[[#This Row],[Total_Spent (€)]]&lt;25,"Medium Spender","High Spender"))</f>
        <v>Low Spender</v>
      </c>
    </row>
    <row r="215" spans="1:14" x14ac:dyDescent="0.2">
      <c r="A215" s="14" t="s">
        <v>557</v>
      </c>
      <c r="B215" s="11">
        <v>50</v>
      </c>
      <c r="C215" s="11" t="s">
        <v>843</v>
      </c>
      <c r="D215" s="11">
        <v>12.39</v>
      </c>
      <c r="E215" s="11" t="s">
        <v>556</v>
      </c>
      <c r="F215" s="11" t="s">
        <v>555</v>
      </c>
      <c r="G215" s="11">
        <v>1</v>
      </c>
      <c r="H215" s="11">
        <v>6.69</v>
      </c>
      <c r="I215" s="11" t="str">
        <f>TEXT(Dataset[[#This Row],[Purchase_Date]],"[$-409]mmmm")</f>
        <v>November</v>
      </c>
      <c r="J215" s="12">
        <f>MONTH(Dataset[[#This Row],[Purchase_Date]])</f>
        <v>11</v>
      </c>
      <c r="K215" s="13" t="str">
        <f>TEXT(Dataset[[#This Row],[Purchase_Date]],"mm - [$-409]mmmm")</f>
        <v>11 - November</v>
      </c>
      <c r="L215" s="11">
        <f>IF(Dataset[[#This Row],[Purchase_Date]]="","",YEAR(Dataset[[#This Row],[Purchase_Date]]))</f>
        <v>2024</v>
      </c>
      <c r="M215" s="11" t="str" cm="1">
        <f t="array" ref="M215">_xlfn.IFS(B215&lt;=25, "Young Adults", B215&lt;=35, "Emerging Professionals", B215&lt;=50, "Established Adults", TRUE, "Mature Customers")</f>
        <v>Established Adults</v>
      </c>
      <c r="N215" s="11" t="str">
        <f>IF(Dataset[[#This Row],[Total_Spent (€)]]&lt;10,"Low Spender",IF(Dataset[[#This Row],[Total_Spent (€)]]&lt;25,"Medium Spender","High Spender"))</f>
        <v>Medium Spender</v>
      </c>
    </row>
    <row r="216" spans="1:14" x14ac:dyDescent="0.2">
      <c r="A216" s="14" t="s">
        <v>554</v>
      </c>
      <c r="B216" s="11">
        <v>52</v>
      </c>
      <c r="C216" s="11" t="s">
        <v>43</v>
      </c>
      <c r="D216" s="11">
        <v>23.18</v>
      </c>
      <c r="E216" s="11" t="s">
        <v>353</v>
      </c>
      <c r="F216" s="11" t="s">
        <v>106</v>
      </c>
      <c r="G216" s="11">
        <v>1</v>
      </c>
      <c r="H216" s="11">
        <v>7.86</v>
      </c>
      <c r="I216" s="11" t="str">
        <f>TEXT(Dataset[[#This Row],[Purchase_Date]],"[$-409]mmmm")</f>
        <v>May</v>
      </c>
      <c r="J216" s="12">
        <f>MONTH(Dataset[[#This Row],[Purchase_Date]])</f>
        <v>5</v>
      </c>
      <c r="K216" s="13" t="str">
        <f>TEXT(Dataset[[#This Row],[Purchase_Date]],"mm - [$-409]mmmm")</f>
        <v>05 - May</v>
      </c>
      <c r="L216" s="11">
        <f>IF(Dataset[[#This Row],[Purchase_Date]]="","",YEAR(Dataset[[#This Row],[Purchase_Date]]))</f>
        <v>2025</v>
      </c>
      <c r="M216" s="11" t="str" cm="1">
        <f t="array" ref="M216">_xlfn.IFS(B216&lt;=25, "Young Adults", B216&lt;=35, "Emerging Professionals", B216&lt;=50, "Established Adults", TRUE, "Mature Customers")</f>
        <v>Mature Customers</v>
      </c>
      <c r="N216" s="11" t="str">
        <f>IF(Dataset[[#This Row],[Total_Spent (€)]]&lt;10,"Low Spender",IF(Dataset[[#This Row],[Total_Spent (€)]]&lt;25,"Medium Spender","High Spender"))</f>
        <v>Medium Spender</v>
      </c>
    </row>
    <row r="217" spans="1:14" x14ac:dyDescent="0.2">
      <c r="A217" s="14" t="s">
        <v>553</v>
      </c>
      <c r="B217" s="11">
        <v>22</v>
      </c>
      <c r="C217" s="11" t="s">
        <v>17</v>
      </c>
      <c r="D217" s="11">
        <v>18.239999999999998</v>
      </c>
      <c r="E217" s="11" t="s">
        <v>437</v>
      </c>
      <c r="F217" s="11" t="s">
        <v>552</v>
      </c>
      <c r="G217" s="11">
        <v>1</v>
      </c>
      <c r="H217" s="11">
        <v>7.95</v>
      </c>
      <c r="I217" s="11" t="str">
        <f>TEXT(Dataset[[#This Row],[Purchase_Date]],"[$-409]mmmm")</f>
        <v>August</v>
      </c>
      <c r="J217" s="12">
        <f>MONTH(Dataset[[#This Row],[Purchase_Date]])</f>
        <v>8</v>
      </c>
      <c r="K217" s="13" t="str">
        <f>TEXT(Dataset[[#This Row],[Purchase_Date]],"mm - [$-409]mmmm")</f>
        <v>08 - August</v>
      </c>
      <c r="L217" s="11">
        <f>IF(Dataset[[#This Row],[Purchase_Date]]="","",YEAR(Dataset[[#This Row],[Purchase_Date]]))</f>
        <v>2024</v>
      </c>
      <c r="M217" s="11" t="str" cm="1">
        <f t="array" ref="M217">_xlfn.IFS(B217&lt;=25, "Young Adults", B217&lt;=35, "Emerging Professionals", B217&lt;=50, "Established Adults", TRUE, "Mature Customers")</f>
        <v>Young Adults</v>
      </c>
      <c r="N217" s="11" t="str">
        <f>IF(Dataset[[#This Row],[Total_Spent (€)]]&lt;10,"Low Spender",IF(Dataset[[#This Row],[Total_Spent (€)]]&lt;25,"Medium Spender","High Spender"))</f>
        <v>Medium Spender</v>
      </c>
    </row>
    <row r="218" spans="1:14" x14ac:dyDescent="0.2">
      <c r="A218" s="14" t="s">
        <v>551</v>
      </c>
      <c r="B218" s="11">
        <v>19</v>
      </c>
      <c r="C218" s="11" t="s">
        <v>847</v>
      </c>
      <c r="D218" s="11">
        <v>24.83</v>
      </c>
      <c r="E218" s="11" t="s">
        <v>466</v>
      </c>
      <c r="F218" s="11" t="s">
        <v>550</v>
      </c>
      <c r="G218" s="11">
        <v>1</v>
      </c>
      <c r="H218" s="11">
        <v>5.08</v>
      </c>
      <c r="I218" s="11" t="str">
        <f>TEXT(Dataset[[#This Row],[Purchase_Date]],"[$-409]mmmm")</f>
        <v>April</v>
      </c>
      <c r="J218" s="12">
        <f>MONTH(Dataset[[#This Row],[Purchase_Date]])</f>
        <v>4</v>
      </c>
      <c r="K218" s="13" t="str">
        <f>TEXT(Dataset[[#This Row],[Purchase_Date]],"mm - [$-409]mmmm")</f>
        <v>04 - April</v>
      </c>
      <c r="L218" s="11">
        <f>IF(Dataset[[#This Row],[Purchase_Date]]="","",YEAR(Dataset[[#This Row],[Purchase_Date]]))</f>
        <v>2025</v>
      </c>
      <c r="M218" s="11" t="str" cm="1">
        <f t="array" ref="M218">_xlfn.IFS(B218&lt;=25, "Young Adults", B218&lt;=35, "Emerging Professionals", B218&lt;=50, "Established Adults", TRUE, "Mature Customers")</f>
        <v>Young Adults</v>
      </c>
      <c r="N218" s="11" t="str">
        <f>IF(Dataset[[#This Row],[Total_Spent (€)]]&lt;10,"Low Spender",IF(Dataset[[#This Row],[Total_Spent (€)]]&lt;25,"Medium Spender","High Spender"))</f>
        <v>Medium Spender</v>
      </c>
    </row>
    <row r="219" spans="1:14" x14ac:dyDescent="0.2">
      <c r="A219" s="14" t="s">
        <v>549</v>
      </c>
      <c r="B219" s="11">
        <v>51</v>
      </c>
      <c r="C219" s="11" t="s">
        <v>9</v>
      </c>
      <c r="D219" s="11">
        <v>33.79</v>
      </c>
      <c r="E219" s="11" t="s">
        <v>11</v>
      </c>
      <c r="F219" s="11" t="s">
        <v>376</v>
      </c>
      <c r="G219" s="11">
        <v>1</v>
      </c>
      <c r="H219" s="11">
        <v>6.4</v>
      </c>
      <c r="I219" s="11" t="str">
        <f>TEXT(Dataset[[#This Row],[Purchase_Date]],"[$-409]mmmm")</f>
        <v>November</v>
      </c>
      <c r="J219" s="12">
        <f>MONTH(Dataset[[#This Row],[Purchase_Date]])</f>
        <v>11</v>
      </c>
      <c r="K219" s="13" t="str">
        <f>TEXT(Dataset[[#This Row],[Purchase_Date]],"mm - [$-409]mmmm")</f>
        <v>11 - November</v>
      </c>
      <c r="L219" s="11">
        <f>IF(Dataset[[#This Row],[Purchase_Date]]="","",YEAR(Dataset[[#This Row],[Purchase_Date]]))</f>
        <v>2024</v>
      </c>
      <c r="M219" s="11" t="str" cm="1">
        <f t="array" ref="M219">_xlfn.IFS(B219&lt;=25, "Young Adults", B219&lt;=35, "Emerging Professionals", B219&lt;=50, "Established Adults", TRUE, "Mature Customers")</f>
        <v>Mature Customers</v>
      </c>
      <c r="N219" s="11" t="str">
        <f>IF(Dataset[[#This Row],[Total_Spent (€)]]&lt;10,"Low Spender",IF(Dataset[[#This Row],[Total_Spent (€)]]&lt;25,"Medium Spender","High Spender"))</f>
        <v>High Spender</v>
      </c>
    </row>
    <row r="220" spans="1:14" x14ac:dyDescent="0.2">
      <c r="A220" s="14" t="s">
        <v>548</v>
      </c>
      <c r="B220" s="11">
        <v>34</v>
      </c>
      <c r="C220" s="11" t="s">
        <v>847</v>
      </c>
      <c r="D220" s="11"/>
      <c r="F220" s="11" t="s">
        <v>394</v>
      </c>
      <c r="G220" s="11">
        <v>0</v>
      </c>
      <c r="H220" s="11">
        <v>6.81</v>
      </c>
      <c r="I220" s="11" t="str">
        <f>TEXT(Dataset[[#This Row],[Purchase_Date]],"[$-409]mmmm")</f>
        <v>January</v>
      </c>
      <c r="J220" s="12">
        <f>MONTH(Dataset[[#This Row],[Purchase_Date]])</f>
        <v>1</v>
      </c>
      <c r="K220" s="13" t="str">
        <f>TEXT(Dataset[[#This Row],[Purchase_Date]],"mm - [$-409]mmmm")</f>
        <v>01 - January</v>
      </c>
      <c r="L220" s="11" t="str">
        <f>IF(Dataset[[#This Row],[Purchase_Date]]="","",YEAR(Dataset[[#This Row],[Purchase_Date]]))</f>
        <v/>
      </c>
      <c r="M220" s="11" t="str" cm="1">
        <f t="array" ref="M220">_xlfn.IFS(B220&lt;=25, "Young Adults", B220&lt;=35, "Emerging Professionals", B220&lt;=50, "Established Adults", TRUE, "Mature Customers")</f>
        <v>Emerging Professionals</v>
      </c>
      <c r="N220" s="11" t="str">
        <f>IF(Dataset[[#This Row],[Total_Spent (€)]]&lt;10,"Low Spender",IF(Dataset[[#This Row],[Total_Spent (€)]]&lt;25,"Medium Spender","High Spender"))</f>
        <v>Low Spender</v>
      </c>
    </row>
    <row r="221" spans="1:14" x14ac:dyDescent="0.2">
      <c r="A221" s="14" t="s">
        <v>547</v>
      </c>
      <c r="B221" s="11">
        <v>28</v>
      </c>
      <c r="C221" s="11" t="s">
        <v>75</v>
      </c>
      <c r="D221" s="11"/>
      <c r="F221" s="11" t="s">
        <v>279</v>
      </c>
      <c r="G221" s="11">
        <v>0</v>
      </c>
      <c r="H221" s="11">
        <v>9.58</v>
      </c>
      <c r="I221" s="11" t="str">
        <f>TEXT(Dataset[[#This Row],[Purchase_Date]],"[$-409]mmmm")</f>
        <v>January</v>
      </c>
      <c r="J221" s="12">
        <f>MONTH(Dataset[[#This Row],[Purchase_Date]])</f>
        <v>1</v>
      </c>
      <c r="K221" s="13" t="str">
        <f>TEXT(Dataset[[#This Row],[Purchase_Date]],"mm - [$-409]mmmm")</f>
        <v>01 - January</v>
      </c>
      <c r="L221" s="11" t="str">
        <f>IF(Dataset[[#This Row],[Purchase_Date]]="","",YEAR(Dataset[[#This Row],[Purchase_Date]]))</f>
        <v/>
      </c>
      <c r="M221" s="11" t="str" cm="1">
        <f t="array" ref="M221">_xlfn.IFS(B221&lt;=25, "Young Adults", B221&lt;=35, "Emerging Professionals", B221&lt;=50, "Established Adults", TRUE, "Mature Customers")</f>
        <v>Emerging Professionals</v>
      </c>
      <c r="N221" s="11" t="str">
        <f>IF(Dataset[[#This Row],[Total_Spent (€)]]&lt;10,"Low Spender",IF(Dataset[[#This Row],[Total_Spent (€)]]&lt;25,"Medium Spender","High Spender"))</f>
        <v>Low Spender</v>
      </c>
    </row>
    <row r="222" spans="1:14" x14ac:dyDescent="0.2">
      <c r="A222" s="14" t="s">
        <v>546</v>
      </c>
      <c r="B222" s="11">
        <v>24</v>
      </c>
      <c r="C222" s="11" t="s">
        <v>842</v>
      </c>
      <c r="D222" s="11"/>
      <c r="F222" s="11" t="s">
        <v>545</v>
      </c>
      <c r="G222" s="11">
        <v>0</v>
      </c>
      <c r="H222" s="11">
        <v>7.38</v>
      </c>
      <c r="I222" s="11" t="str">
        <f>TEXT(Dataset[[#This Row],[Purchase_Date]],"[$-409]mmmm")</f>
        <v>January</v>
      </c>
      <c r="J222" s="12">
        <f>MONTH(Dataset[[#This Row],[Purchase_Date]])</f>
        <v>1</v>
      </c>
      <c r="K222" s="13" t="str">
        <f>TEXT(Dataset[[#This Row],[Purchase_Date]],"mm - [$-409]mmmm")</f>
        <v>01 - January</v>
      </c>
      <c r="L222" s="11" t="str">
        <f>IF(Dataset[[#This Row],[Purchase_Date]]="","",YEAR(Dataset[[#This Row],[Purchase_Date]]))</f>
        <v/>
      </c>
      <c r="M222" s="11" t="str" cm="1">
        <f t="array" ref="M222">_xlfn.IFS(B222&lt;=25, "Young Adults", B222&lt;=35, "Emerging Professionals", B222&lt;=50, "Established Adults", TRUE, "Mature Customers")</f>
        <v>Young Adults</v>
      </c>
      <c r="N222" s="11" t="str">
        <f>IF(Dataset[[#This Row],[Total_Spent (€)]]&lt;10,"Low Spender",IF(Dataset[[#This Row],[Total_Spent (€)]]&lt;25,"Medium Spender","High Spender"))</f>
        <v>Low Spender</v>
      </c>
    </row>
    <row r="223" spans="1:14" x14ac:dyDescent="0.2">
      <c r="A223" s="14" t="s">
        <v>544</v>
      </c>
      <c r="B223" s="11">
        <v>19</v>
      </c>
      <c r="C223" s="11" t="s">
        <v>86</v>
      </c>
      <c r="D223" s="11"/>
      <c r="F223" s="11" t="s">
        <v>216</v>
      </c>
      <c r="G223" s="11">
        <v>0</v>
      </c>
      <c r="H223" s="11">
        <v>7.92</v>
      </c>
      <c r="I223" s="11" t="str">
        <f>TEXT(Dataset[[#This Row],[Purchase_Date]],"[$-409]mmmm")</f>
        <v>January</v>
      </c>
      <c r="J223" s="12">
        <f>MONTH(Dataset[[#This Row],[Purchase_Date]])</f>
        <v>1</v>
      </c>
      <c r="K223" s="13" t="str">
        <f>TEXT(Dataset[[#This Row],[Purchase_Date]],"mm - [$-409]mmmm")</f>
        <v>01 - January</v>
      </c>
      <c r="L223" s="11" t="str">
        <f>IF(Dataset[[#This Row],[Purchase_Date]]="","",YEAR(Dataset[[#This Row],[Purchase_Date]]))</f>
        <v/>
      </c>
      <c r="M223" s="11" t="str" cm="1">
        <f t="array" ref="M223">_xlfn.IFS(B223&lt;=25, "Young Adults", B223&lt;=35, "Emerging Professionals", B223&lt;=50, "Established Adults", TRUE, "Mature Customers")</f>
        <v>Young Adults</v>
      </c>
      <c r="N223" s="11" t="str">
        <f>IF(Dataset[[#This Row],[Total_Spent (€)]]&lt;10,"Low Spender",IF(Dataset[[#This Row],[Total_Spent (€)]]&lt;25,"Medium Spender","High Spender"))</f>
        <v>Low Spender</v>
      </c>
    </row>
    <row r="224" spans="1:14" x14ac:dyDescent="0.2">
      <c r="A224" s="14" t="s">
        <v>543</v>
      </c>
      <c r="B224" s="11">
        <v>19</v>
      </c>
      <c r="C224" s="11" t="s">
        <v>75</v>
      </c>
      <c r="D224" s="11">
        <v>8.2899999999999991</v>
      </c>
      <c r="E224" s="11" t="s">
        <v>542</v>
      </c>
      <c r="F224" s="11" t="s">
        <v>541</v>
      </c>
      <c r="G224" s="11">
        <v>1</v>
      </c>
      <c r="H224" s="11">
        <v>8.6199999999999992</v>
      </c>
      <c r="I224" s="11" t="str">
        <f>TEXT(Dataset[[#This Row],[Purchase_Date]],"[$-409]mmmm")</f>
        <v>May</v>
      </c>
      <c r="J224" s="12">
        <f>MONTH(Dataset[[#This Row],[Purchase_Date]])</f>
        <v>5</v>
      </c>
      <c r="K224" s="13" t="str">
        <f>TEXT(Dataset[[#This Row],[Purchase_Date]],"mm - [$-409]mmmm")</f>
        <v>05 - May</v>
      </c>
      <c r="L224" s="11">
        <f>IF(Dataset[[#This Row],[Purchase_Date]]="","",YEAR(Dataset[[#This Row],[Purchase_Date]]))</f>
        <v>2025</v>
      </c>
      <c r="M224" s="11" t="str" cm="1">
        <f t="array" ref="M224">_xlfn.IFS(B224&lt;=25, "Young Adults", B224&lt;=35, "Emerging Professionals", B224&lt;=50, "Established Adults", TRUE, "Mature Customers")</f>
        <v>Young Adults</v>
      </c>
      <c r="N224" s="11" t="str">
        <f>IF(Dataset[[#This Row],[Total_Spent (€)]]&lt;10,"Low Spender",IF(Dataset[[#This Row],[Total_Spent (€)]]&lt;25,"Medium Spender","High Spender"))</f>
        <v>Low Spender</v>
      </c>
    </row>
    <row r="225" spans="1:14" x14ac:dyDescent="0.2">
      <c r="A225" s="14" t="s">
        <v>540</v>
      </c>
      <c r="B225" s="11">
        <v>54</v>
      </c>
      <c r="C225" s="11" t="s">
        <v>9</v>
      </c>
      <c r="D225" s="11">
        <v>38.549999999999997</v>
      </c>
      <c r="E225" s="11" t="s">
        <v>345</v>
      </c>
      <c r="F225" s="11" t="s">
        <v>35</v>
      </c>
      <c r="G225" s="11">
        <v>1</v>
      </c>
      <c r="H225" s="11">
        <v>6.42</v>
      </c>
      <c r="I225" s="11" t="str">
        <f>TEXT(Dataset[[#This Row],[Purchase_Date]],"[$-409]mmmm")</f>
        <v>November</v>
      </c>
      <c r="J225" s="12">
        <f>MONTH(Dataset[[#This Row],[Purchase_Date]])</f>
        <v>11</v>
      </c>
      <c r="K225" s="13" t="str">
        <f>TEXT(Dataset[[#This Row],[Purchase_Date]],"mm - [$-409]mmmm")</f>
        <v>11 - November</v>
      </c>
      <c r="L225" s="11">
        <f>IF(Dataset[[#This Row],[Purchase_Date]]="","",YEAR(Dataset[[#This Row],[Purchase_Date]]))</f>
        <v>2024</v>
      </c>
      <c r="M225" s="11" t="str" cm="1">
        <f t="array" ref="M225">_xlfn.IFS(B225&lt;=25, "Young Adults", B225&lt;=35, "Emerging Professionals", B225&lt;=50, "Established Adults", TRUE, "Mature Customers")</f>
        <v>Mature Customers</v>
      </c>
      <c r="N225" s="11" t="str">
        <f>IF(Dataset[[#This Row],[Total_Spent (€)]]&lt;10,"Low Spender",IF(Dataset[[#This Row],[Total_Spent (€)]]&lt;25,"Medium Spender","High Spender"))</f>
        <v>High Spender</v>
      </c>
    </row>
    <row r="226" spans="1:14" x14ac:dyDescent="0.2">
      <c r="A226" s="14" t="s">
        <v>539</v>
      </c>
      <c r="B226" s="11">
        <v>23</v>
      </c>
      <c r="C226" s="11" t="s">
        <v>152</v>
      </c>
      <c r="D226" s="11">
        <v>20.13</v>
      </c>
      <c r="E226" s="11" t="s">
        <v>336</v>
      </c>
      <c r="F226" s="11" t="s">
        <v>538</v>
      </c>
      <c r="G226" s="11">
        <v>1</v>
      </c>
      <c r="H226" s="11">
        <v>5.71</v>
      </c>
      <c r="I226" s="11" t="str">
        <f>TEXT(Dataset[[#This Row],[Purchase_Date]],"[$-409]mmmm")</f>
        <v>February</v>
      </c>
      <c r="J226" s="12">
        <f>MONTH(Dataset[[#This Row],[Purchase_Date]])</f>
        <v>2</v>
      </c>
      <c r="K226" s="13" t="str">
        <f>TEXT(Dataset[[#This Row],[Purchase_Date]],"mm - [$-409]mmmm")</f>
        <v>02 - February</v>
      </c>
      <c r="L226" s="11">
        <f>IF(Dataset[[#This Row],[Purchase_Date]]="","",YEAR(Dataset[[#This Row],[Purchase_Date]]))</f>
        <v>2025</v>
      </c>
      <c r="M226" s="11" t="str" cm="1">
        <f t="array" ref="M226">_xlfn.IFS(B226&lt;=25, "Young Adults", B226&lt;=35, "Emerging Professionals", B226&lt;=50, "Established Adults", TRUE, "Mature Customers")</f>
        <v>Young Adults</v>
      </c>
      <c r="N226" s="11" t="str">
        <f>IF(Dataset[[#This Row],[Total_Spent (€)]]&lt;10,"Low Spender",IF(Dataset[[#This Row],[Total_Spent (€)]]&lt;25,"Medium Spender","High Spender"))</f>
        <v>Medium Spender</v>
      </c>
    </row>
    <row r="227" spans="1:14" x14ac:dyDescent="0.2">
      <c r="A227" s="14" t="s">
        <v>537</v>
      </c>
      <c r="B227" s="11">
        <v>51</v>
      </c>
      <c r="C227" s="11" t="s">
        <v>43</v>
      </c>
      <c r="D227" s="11"/>
      <c r="F227" s="11" t="s">
        <v>396</v>
      </c>
      <c r="G227" s="11">
        <v>0</v>
      </c>
      <c r="H227" s="11">
        <v>8.56</v>
      </c>
      <c r="I227" s="11" t="str">
        <f>TEXT(Dataset[[#This Row],[Purchase_Date]],"[$-409]mmmm")</f>
        <v>January</v>
      </c>
      <c r="J227" s="12">
        <f>MONTH(Dataset[[#This Row],[Purchase_Date]])</f>
        <v>1</v>
      </c>
      <c r="K227" s="13" t="str">
        <f>TEXT(Dataset[[#This Row],[Purchase_Date]],"mm - [$-409]mmmm")</f>
        <v>01 - January</v>
      </c>
      <c r="L227" s="11" t="str">
        <f>IF(Dataset[[#This Row],[Purchase_Date]]="","",YEAR(Dataset[[#This Row],[Purchase_Date]]))</f>
        <v/>
      </c>
      <c r="M227" s="11" t="str" cm="1">
        <f t="array" ref="M227">_xlfn.IFS(B227&lt;=25, "Young Adults", B227&lt;=35, "Emerging Professionals", B227&lt;=50, "Established Adults", TRUE, "Mature Customers")</f>
        <v>Mature Customers</v>
      </c>
      <c r="N227" s="11" t="str">
        <f>IF(Dataset[[#This Row],[Total_Spent (€)]]&lt;10,"Low Spender",IF(Dataset[[#This Row],[Total_Spent (€)]]&lt;25,"Medium Spender","High Spender"))</f>
        <v>Low Spender</v>
      </c>
    </row>
    <row r="228" spans="1:14" x14ac:dyDescent="0.2">
      <c r="A228" s="14" t="s">
        <v>536</v>
      </c>
      <c r="B228" s="11">
        <v>29</v>
      </c>
      <c r="C228" s="11" t="s">
        <v>844</v>
      </c>
      <c r="D228" s="11">
        <v>20.28</v>
      </c>
      <c r="E228" s="11" t="s">
        <v>200</v>
      </c>
      <c r="F228" s="11" t="s">
        <v>180</v>
      </c>
      <c r="G228" s="11">
        <v>1</v>
      </c>
      <c r="H228" s="11">
        <v>7.01</v>
      </c>
      <c r="I228" s="11" t="str">
        <f>TEXT(Dataset[[#This Row],[Purchase_Date]],"[$-409]mmmm")</f>
        <v>August</v>
      </c>
      <c r="J228" s="12">
        <f>MONTH(Dataset[[#This Row],[Purchase_Date]])</f>
        <v>8</v>
      </c>
      <c r="K228" s="13" t="str">
        <f>TEXT(Dataset[[#This Row],[Purchase_Date]],"mm - [$-409]mmmm")</f>
        <v>08 - August</v>
      </c>
      <c r="L228" s="11">
        <f>IF(Dataset[[#This Row],[Purchase_Date]]="","",YEAR(Dataset[[#This Row],[Purchase_Date]]))</f>
        <v>2024</v>
      </c>
      <c r="M228" s="11" t="str" cm="1">
        <f t="array" ref="M228">_xlfn.IFS(B228&lt;=25, "Young Adults", B228&lt;=35, "Emerging Professionals", B228&lt;=50, "Established Adults", TRUE, "Mature Customers")</f>
        <v>Emerging Professionals</v>
      </c>
      <c r="N228" s="11" t="str">
        <f>IF(Dataset[[#This Row],[Total_Spent (€)]]&lt;10,"Low Spender",IF(Dataset[[#This Row],[Total_Spent (€)]]&lt;25,"Medium Spender","High Spender"))</f>
        <v>Medium Spender</v>
      </c>
    </row>
    <row r="229" spans="1:14" x14ac:dyDescent="0.2">
      <c r="A229" s="14" t="s">
        <v>535</v>
      </c>
      <c r="B229" s="11">
        <v>19</v>
      </c>
      <c r="C229" s="11" t="s">
        <v>843</v>
      </c>
      <c r="D229" s="11">
        <v>10.92</v>
      </c>
      <c r="E229" s="11" t="s">
        <v>353</v>
      </c>
      <c r="F229" s="11" t="s">
        <v>144</v>
      </c>
      <c r="G229" s="11">
        <v>1</v>
      </c>
      <c r="H229" s="11">
        <v>6.44</v>
      </c>
      <c r="I229" s="11" t="str">
        <f>TEXT(Dataset[[#This Row],[Purchase_Date]],"[$-409]mmmm")</f>
        <v>May</v>
      </c>
      <c r="J229" s="12">
        <f>MONTH(Dataset[[#This Row],[Purchase_Date]])</f>
        <v>5</v>
      </c>
      <c r="K229" s="13" t="str">
        <f>TEXT(Dataset[[#This Row],[Purchase_Date]],"mm - [$-409]mmmm")</f>
        <v>05 - May</v>
      </c>
      <c r="L229" s="11">
        <f>IF(Dataset[[#This Row],[Purchase_Date]]="","",YEAR(Dataset[[#This Row],[Purchase_Date]]))</f>
        <v>2025</v>
      </c>
      <c r="M229" s="11" t="str" cm="1">
        <f t="array" ref="M229">_xlfn.IFS(B229&lt;=25, "Young Adults", B229&lt;=35, "Emerging Professionals", B229&lt;=50, "Established Adults", TRUE, "Mature Customers")</f>
        <v>Young Adults</v>
      </c>
      <c r="N229" s="11" t="str">
        <f>IF(Dataset[[#This Row],[Total_Spent (€)]]&lt;10,"Low Spender",IF(Dataset[[#This Row],[Total_Spent (€)]]&lt;25,"Medium Spender","High Spender"))</f>
        <v>Medium Spender</v>
      </c>
    </row>
    <row r="230" spans="1:14" x14ac:dyDescent="0.2">
      <c r="A230" s="14" t="s">
        <v>534</v>
      </c>
      <c r="B230" s="11">
        <v>34</v>
      </c>
      <c r="C230" s="11" t="s">
        <v>20</v>
      </c>
      <c r="D230" s="11">
        <v>10.14</v>
      </c>
      <c r="E230" s="11" t="s">
        <v>533</v>
      </c>
      <c r="F230" s="11" t="s">
        <v>137</v>
      </c>
      <c r="G230" s="11">
        <v>1</v>
      </c>
      <c r="H230" s="11">
        <v>5</v>
      </c>
      <c r="I230" s="11" t="str">
        <f>TEXT(Dataset[[#This Row],[Purchase_Date]],"[$-409]mmmm")</f>
        <v>October</v>
      </c>
      <c r="J230" s="12">
        <f>MONTH(Dataset[[#This Row],[Purchase_Date]])</f>
        <v>10</v>
      </c>
      <c r="K230" s="13" t="str">
        <f>TEXT(Dataset[[#This Row],[Purchase_Date]],"mm - [$-409]mmmm")</f>
        <v>10 - October</v>
      </c>
      <c r="L230" s="11">
        <f>IF(Dataset[[#This Row],[Purchase_Date]]="","",YEAR(Dataset[[#This Row],[Purchase_Date]]))</f>
        <v>2024</v>
      </c>
      <c r="M230" s="11" t="str" cm="1">
        <f t="array" ref="M230">_xlfn.IFS(B230&lt;=25, "Young Adults", B230&lt;=35, "Emerging Professionals", B230&lt;=50, "Established Adults", TRUE, "Mature Customers")</f>
        <v>Emerging Professionals</v>
      </c>
      <c r="N230" s="11" t="str">
        <f>IF(Dataset[[#This Row],[Total_Spent (€)]]&lt;10,"Low Spender",IF(Dataset[[#This Row],[Total_Spent (€)]]&lt;25,"Medium Spender","High Spender"))</f>
        <v>Medium Spender</v>
      </c>
    </row>
    <row r="231" spans="1:14" x14ac:dyDescent="0.2">
      <c r="A231" s="14" t="s">
        <v>532</v>
      </c>
      <c r="B231" s="11">
        <v>42</v>
      </c>
      <c r="C231" s="11" t="s">
        <v>86</v>
      </c>
      <c r="D231" s="11">
        <v>10.08</v>
      </c>
      <c r="E231" s="11" t="s">
        <v>531</v>
      </c>
      <c r="F231" s="11" t="s">
        <v>530</v>
      </c>
      <c r="G231" s="11">
        <v>1</v>
      </c>
      <c r="H231" s="11">
        <v>3.48</v>
      </c>
      <c r="I231" s="11" t="str">
        <f>TEXT(Dataset[[#This Row],[Purchase_Date]],"[$-409]mmmm")</f>
        <v>February</v>
      </c>
      <c r="J231" s="12">
        <f>MONTH(Dataset[[#This Row],[Purchase_Date]])</f>
        <v>2</v>
      </c>
      <c r="K231" s="13" t="str">
        <f>TEXT(Dataset[[#This Row],[Purchase_Date]],"mm - [$-409]mmmm")</f>
        <v>02 - February</v>
      </c>
      <c r="L231" s="11">
        <f>IF(Dataset[[#This Row],[Purchase_Date]]="","",YEAR(Dataset[[#This Row],[Purchase_Date]]))</f>
        <v>2025</v>
      </c>
      <c r="M231" s="11" t="str" cm="1">
        <f t="array" ref="M231">_xlfn.IFS(B231&lt;=25, "Young Adults", B231&lt;=35, "Emerging Professionals", B231&lt;=50, "Established Adults", TRUE, "Mature Customers")</f>
        <v>Established Adults</v>
      </c>
      <c r="N231" s="11" t="str">
        <f>IF(Dataset[[#This Row],[Total_Spent (€)]]&lt;10,"Low Spender",IF(Dataset[[#This Row],[Total_Spent (€)]]&lt;25,"Medium Spender","High Spender"))</f>
        <v>Medium Spender</v>
      </c>
    </row>
    <row r="232" spans="1:14" x14ac:dyDescent="0.2">
      <c r="A232" s="14" t="s">
        <v>529</v>
      </c>
      <c r="B232" s="11">
        <v>30</v>
      </c>
      <c r="C232" s="11" t="s">
        <v>9</v>
      </c>
      <c r="D232" s="11"/>
      <c r="F232" s="11" t="s">
        <v>440</v>
      </c>
      <c r="G232" s="11">
        <v>0</v>
      </c>
      <c r="H232" s="11">
        <v>5.23</v>
      </c>
      <c r="I232" s="11" t="str">
        <f>TEXT(Dataset[[#This Row],[Purchase_Date]],"[$-409]mmmm")</f>
        <v>January</v>
      </c>
      <c r="J232" s="12">
        <f>MONTH(Dataset[[#This Row],[Purchase_Date]])</f>
        <v>1</v>
      </c>
      <c r="K232" s="13" t="str">
        <f>TEXT(Dataset[[#This Row],[Purchase_Date]],"mm - [$-409]mmmm")</f>
        <v>01 - January</v>
      </c>
      <c r="L232" s="11" t="str">
        <f>IF(Dataset[[#This Row],[Purchase_Date]]="","",YEAR(Dataset[[#This Row],[Purchase_Date]]))</f>
        <v/>
      </c>
      <c r="M232" s="11" t="str" cm="1">
        <f t="array" ref="M232">_xlfn.IFS(B232&lt;=25, "Young Adults", B232&lt;=35, "Emerging Professionals", B232&lt;=50, "Established Adults", TRUE, "Mature Customers")</f>
        <v>Emerging Professionals</v>
      </c>
      <c r="N232" s="11" t="str">
        <f>IF(Dataset[[#This Row],[Total_Spent (€)]]&lt;10,"Low Spender",IF(Dataset[[#This Row],[Total_Spent (€)]]&lt;25,"Medium Spender","High Spender"))</f>
        <v>Low Spender</v>
      </c>
    </row>
    <row r="233" spans="1:14" x14ac:dyDescent="0.2">
      <c r="A233" s="14" t="s">
        <v>528</v>
      </c>
      <c r="B233" s="11">
        <v>25</v>
      </c>
      <c r="C233" s="11" t="s">
        <v>38</v>
      </c>
      <c r="D233" s="11"/>
      <c r="F233" s="11" t="s">
        <v>63</v>
      </c>
      <c r="G233" s="11">
        <v>0</v>
      </c>
      <c r="H233" s="11">
        <v>9.9600000000000009</v>
      </c>
      <c r="I233" s="11" t="str">
        <f>TEXT(Dataset[[#This Row],[Purchase_Date]],"[$-409]mmmm")</f>
        <v>January</v>
      </c>
      <c r="J233" s="12">
        <f>MONTH(Dataset[[#This Row],[Purchase_Date]])</f>
        <v>1</v>
      </c>
      <c r="K233" s="13" t="str">
        <f>TEXT(Dataset[[#This Row],[Purchase_Date]],"mm - [$-409]mmmm")</f>
        <v>01 - January</v>
      </c>
      <c r="L233" s="11" t="str">
        <f>IF(Dataset[[#This Row],[Purchase_Date]]="","",YEAR(Dataset[[#This Row],[Purchase_Date]]))</f>
        <v/>
      </c>
      <c r="M233" s="11" t="str" cm="1">
        <f t="array" ref="M233">_xlfn.IFS(B233&lt;=25, "Young Adults", B233&lt;=35, "Emerging Professionals", B233&lt;=50, "Established Adults", TRUE, "Mature Customers")</f>
        <v>Young Adults</v>
      </c>
      <c r="N233" s="11" t="str">
        <f>IF(Dataset[[#This Row],[Total_Spent (€)]]&lt;10,"Low Spender",IF(Dataset[[#This Row],[Total_Spent (€)]]&lt;25,"Medium Spender","High Spender"))</f>
        <v>Low Spender</v>
      </c>
    </row>
    <row r="234" spans="1:14" x14ac:dyDescent="0.2">
      <c r="A234" s="14" t="s">
        <v>527</v>
      </c>
      <c r="B234" s="11">
        <v>33</v>
      </c>
      <c r="C234" s="11" t="s">
        <v>152</v>
      </c>
      <c r="D234" s="11">
        <v>19.46</v>
      </c>
      <c r="E234" s="11" t="s">
        <v>526</v>
      </c>
      <c r="F234" s="11" t="s">
        <v>504</v>
      </c>
      <c r="G234" s="11">
        <v>1</v>
      </c>
      <c r="H234" s="11">
        <v>2.14</v>
      </c>
      <c r="I234" s="11" t="str">
        <f>TEXT(Dataset[[#This Row],[Purchase_Date]],"[$-409]mmmm")</f>
        <v>November</v>
      </c>
      <c r="J234" s="12">
        <f>MONTH(Dataset[[#This Row],[Purchase_Date]])</f>
        <v>11</v>
      </c>
      <c r="K234" s="13" t="str">
        <f>TEXT(Dataset[[#This Row],[Purchase_Date]],"mm - [$-409]mmmm")</f>
        <v>11 - November</v>
      </c>
      <c r="L234" s="11">
        <f>IF(Dataset[[#This Row],[Purchase_Date]]="","",YEAR(Dataset[[#This Row],[Purchase_Date]]))</f>
        <v>2024</v>
      </c>
      <c r="M234" s="11" t="str" cm="1">
        <f t="array" ref="M234">_xlfn.IFS(B234&lt;=25, "Young Adults", B234&lt;=35, "Emerging Professionals", B234&lt;=50, "Established Adults", TRUE, "Mature Customers")</f>
        <v>Emerging Professionals</v>
      </c>
      <c r="N234" s="11" t="str">
        <f>IF(Dataset[[#This Row],[Total_Spent (€)]]&lt;10,"Low Spender",IF(Dataset[[#This Row],[Total_Spent (€)]]&lt;25,"Medium Spender","High Spender"))</f>
        <v>Medium Spender</v>
      </c>
    </row>
    <row r="235" spans="1:14" x14ac:dyDescent="0.2">
      <c r="A235" s="14" t="s">
        <v>525</v>
      </c>
      <c r="B235" s="11">
        <v>38</v>
      </c>
      <c r="C235" s="11" t="s">
        <v>847</v>
      </c>
      <c r="D235" s="11">
        <v>27.79</v>
      </c>
      <c r="E235" s="11" t="s">
        <v>54</v>
      </c>
      <c r="F235" s="11" t="s">
        <v>271</v>
      </c>
      <c r="G235" s="11">
        <v>1</v>
      </c>
      <c r="H235" s="11">
        <v>4.32</v>
      </c>
      <c r="I235" s="11" t="str">
        <f>TEXT(Dataset[[#This Row],[Purchase_Date]],"[$-409]mmmm")</f>
        <v>April</v>
      </c>
      <c r="J235" s="12">
        <f>MONTH(Dataset[[#This Row],[Purchase_Date]])</f>
        <v>4</v>
      </c>
      <c r="K235" s="13" t="str">
        <f>TEXT(Dataset[[#This Row],[Purchase_Date]],"mm - [$-409]mmmm")</f>
        <v>04 - April</v>
      </c>
      <c r="L235" s="11">
        <f>IF(Dataset[[#This Row],[Purchase_Date]]="","",YEAR(Dataset[[#This Row],[Purchase_Date]]))</f>
        <v>2025</v>
      </c>
      <c r="M235" s="11" t="str" cm="1">
        <f t="array" ref="M235">_xlfn.IFS(B235&lt;=25, "Young Adults", B235&lt;=35, "Emerging Professionals", B235&lt;=50, "Established Adults", TRUE, "Mature Customers")</f>
        <v>Established Adults</v>
      </c>
      <c r="N235" s="11" t="str">
        <f>IF(Dataset[[#This Row],[Total_Spent (€)]]&lt;10,"Low Spender",IF(Dataset[[#This Row],[Total_Spent (€)]]&lt;25,"Medium Spender","High Spender"))</f>
        <v>High Spender</v>
      </c>
    </row>
    <row r="236" spans="1:14" x14ac:dyDescent="0.2">
      <c r="A236" s="14" t="s">
        <v>524</v>
      </c>
      <c r="B236" s="11">
        <v>27</v>
      </c>
      <c r="C236" s="11" t="s">
        <v>13</v>
      </c>
      <c r="D236" s="11">
        <v>15.78</v>
      </c>
      <c r="E236" s="11" t="s">
        <v>361</v>
      </c>
      <c r="F236" s="11" t="s">
        <v>523</v>
      </c>
      <c r="G236" s="11">
        <v>1</v>
      </c>
      <c r="H236" s="11">
        <v>8.25</v>
      </c>
      <c r="I236" s="11" t="str">
        <f>TEXT(Dataset[[#This Row],[Purchase_Date]],"[$-409]mmmm")</f>
        <v>February</v>
      </c>
      <c r="J236" s="12">
        <f>MONTH(Dataset[[#This Row],[Purchase_Date]])</f>
        <v>2</v>
      </c>
      <c r="K236" s="13" t="str">
        <f>TEXT(Dataset[[#This Row],[Purchase_Date]],"mm - [$-409]mmmm")</f>
        <v>02 - February</v>
      </c>
      <c r="L236" s="11">
        <f>IF(Dataset[[#This Row],[Purchase_Date]]="","",YEAR(Dataset[[#This Row],[Purchase_Date]]))</f>
        <v>2025</v>
      </c>
      <c r="M236" s="11" t="str" cm="1">
        <f t="array" ref="M236">_xlfn.IFS(B236&lt;=25, "Young Adults", B236&lt;=35, "Emerging Professionals", B236&lt;=50, "Established Adults", TRUE, "Mature Customers")</f>
        <v>Emerging Professionals</v>
      </c>
      <c r="N236" s="11" t="str">
        <f>IF(Dataset[[#This Row],[Total_Spent (€)]]&lt;10,"Low Spender",IF(Dataset[[#This Row],[Total_Spent (€)]]&lt;25,"Medium Spender","High Spender"))</f>
        <v>Medium Spender</v>
      </c>
    </row>
    <row r="237" spans="1:14" x14ac:dyDescent="0.2">
      <c r="A237" s="14" t="s">
        <v>522</v>
      </c>
      <c r="B237" s="11">
        <v>40</v>
      </c>
      <c r="C237" s="11" t="s">
        <v>9</v>
      </c>
      <c r="D237" s="11"/>
      <c r="F237" s="11" t="s">
        <v>89</v>
      </c>
      <c r="G237" s="11">
        <v>0</v>
      </c>
      <c r="H237" s="11">
        <v>2.7</v>
      </c>
      <c r="I237" s="11" t="str">
        <f>TEXT(Dataset[[#This Row],[Purchase_Date]],"[$-409]mmmm")</f>
        <v>January</v>
      </c>
      <c r="J237" s="12">
        <f>MONTH(Dataset[[#This Row],[Purchase_Date]])</f>
        <v>1</v>
      </c>
      <c r="K237" s="13" t="str">
        <f>TEXT(Dataset[[#This Row],[Purchase_Date]],"mm - [$-409]mmmm")</f>
        <v>01 - January</v>
      </c>
      <c r="L237" s="11" t="str">
        <f>IF(Dataset[[#This Row],[Purchase_Date]]="","",YEAR(Dataset[[#This Row],[Purchase_Date]]))</f>
        <v/>
      </c>
      <c r="M237" s="11" t="str" cm="1">
        <f t="array" ref="M237">_xlfn.IFS(B237&lt;=25, "Young Adults", B237&lt;=35, "Emerging Professionals", B237&lt;=50, "Established Adults", TRUE, "Mature Customers")</f>
        <v>Established Adults</v>
      </c>
      <c r="N237" s="11" t="str">
        <f>IF(Dataset[[#This Row],[Total_Spent (€)]]&lt;10,"Low Spender",IF(Dataset[[#This Row],[Total_Spent (€)]]&lt;25,"Medium Spender","High Spender"))</f>
        <v>Low Spender</v>
      </c>
    </row>
    <row r="238" spans="1:14" x14ac:dyDescent="0.2">
      <c r="A238" s="14" t="s">
        <v>521</v>
      </c>
      <c r="B238" s="11">
        <v>30</v>
      </c>
      <c r="C238" s="11" t="s">
        <v>152</v>
      </c>
      <c r="D238" s="11">
        <v>15.68</v>
      </c>
      <c r="E238" s="11" t="s">
        <v>520</v>
      </c>
      <c r="F238" s="11" t="s">
        <v>519</v>
      </c>
      <c r="G238" s="11">
        <v>1</v>
      </c>
      <c r="H238" s="11">
        <v>8.8000000000000007</v>
      </c>
      <c r="I238" s="11" t="str">
        <f>TEXT(Dataset[[#This Row],[Purchase_Date]],"[$-409]mmmm")</f>
        <v>August</v>
      </c>
      <c r="J238" s="12">
        <f>MONTH(Dataset[[#This Row],[Purchase_Date]])</f>
        <v>8</v>
      </c>
      <c r="K238" s="13" t="str">
        <f>TEXT(Dataset[[#This Row],[Purchase_Date]],"mm - [$-409]mmmm")</f>
        <v>08 - August</v>
      </c>
      <c r="L238" s="11">
        <f>IF(Dataset[[#This Row],[Purchase_Date]]="","",YEAR(Dataset[[#This Row],[Purchase_Date]]))</f>
        <v>2024</v>
      </c>
      <c r="M238" s="11" t="str" cm="1">
        <f t="array" ref="M238">_xlfn.IFS(B238&lt;=25, "Young Adults", B238&lt;=35, "Emerging Professionals", B238&lt;=50, "Established Adults", TRUE, "Mature Customers")</f>
        <v>Emerging Professionals</v>
      </c>
      <c r="N238" s="11" t="str">
        <f>IF(Dataset[[#This Row],[Total_Spent (€)]]&lt;10,"Low Spender",IF(Dataset[[#This Row],[Total_Spent (€)]]&lt;25,"Medium Spender","High Spender"))</f>
        <v>Medium Spender</v>
      </c>
    </row>
    <row r="239" spans="1:14" x14ac:dyDescent="0.2">
      <c r="A239" s="14" t="s">
        <v>518</v>
      </c>
      <c r="B239" s="11">
        <v>38</v>
      </c>
      <c r="C239" s="11" t="s">
        <v>841</v>
      </c>
      <c r="D239" s="11"/>
      <c r="F239" s="11" t="s">
        <v>242</v>
      </c>
      <c r="G239" s="11">
        <v>0</v>
      </c>
      <c r="H239" s="11">
        <v>5.74</v>
      </c>
      <c r="I239" s="11" t="str">
        <f>TEXT(Dataset[[#This Row],[Purchase_Date]],"[$-409]mmmm")</f>
        <v>January</v>
      </c>
      <c r="J239" s="12">
        <f>MONTH(Dataset[[#This Row],[Purchase_Date]])</f>
        <v>1</v>
      </c>
      <c r="K239" s="13" t="str">
        <f>TEXT(Dataset[[#This Row],[Purchase_Date]],"mm - [$-409]mmmm")</f>
        <v>01 - January</v>
      </c>
      <c r="L239" s="11" t="str">
        <f>IF(Dataset[[#This Row],[Purchase_Date]]="","",YEAR(Dataset[[#This Row],[Purchase_Date]]))</f>
        <v/>
      </c>
      <c r="M239" s="11" t="str" cm="1">
        <f t="array" ref="M239">_xlfn.IFS(B239&lt;=25, "Young Adults", B239&lt;=35, "Emerging Professionals", B239&lt;=50, "Established Adults", TRUE, "Mature Customers")</f>
        <v>Established Adults</v>
      </c>
      <c r="N239" s="11" t="str">
        <f>IF(Dataset[[#This Row],[Total_Spent (€)]]&lt;10,"Low Spender",IF(Dataset[[#This Row],[Total_Spent (€)]]&lt;25,"Medium Spender","High Spender"))</f>
        <v>Low Spender</v>
      </c>
    </row>
    <row r="240" spans="1:14" x14ac:dyDescent="0.2">
      <c r="A240" s="14" t="s">
        <v>517</v>
      </c>
      <c r="B240" s="11">
        <v>20</v>
      </c>
      <c r="C240" s="11" t="s">
        <v>845</v>
      </c>
      <c r="D240" s="11"/>
      <c r="F240" s="11" t="s">
        <v>390</v>
      </c>
      <c r="G240" s="11">
        <v>0</v>
      </c>
      <c r="H240" s="11">
        <v>7.05</v>
      </c>
      <c r="I240" s="11" t="str">
        <f>TEXT(Dataset[[#This Row],[Purchase_Date]],"[$-409]mmmm")</f>
        <v>January</v>
      </c>
      <c r="J240" s="12">
        <f>MONTH(Dataset[[#This Row],[Purchase_Date]])</f>
        <v>1</v>
      </c>
      <c r="K240" s="13" t="str">
        <f>TEXT(Dataset[[#This Row],[Purchase_Date]],"mm - [$-409]mmmm")</f>
        <v>01 - January</v>
      </c>
      <c r="L240" s="11" t="str">
        <f>IF(Dataset[[#This Row],[Purchase_Date]]="","",YEAR(Dataset[[#This Row],[Purchase_Date]]))</f>
        <v/>
      </c>
      <c r="M240" s="11" t="str" cm="1">
        <f t="array" ref="M240">_xlfn.IFS(B240&lt;=25, "Young Adults", B240&lt;=35, "Emerging Professionals", B240&lt;=50, "Established Adults", TRUE, "Mature Customers")</f>
        <v>Young Adults</v>
      </c>
      <c r="N240" s="11" t="str">
        <f>IF(Dataset[[#This Row],[Total_Spent (€)]]&lt;10,"Low Spender",IF(Dataset[[#This Row],[Total_Spent (€)]]&lt;25,"Medium Spender","High Spender"))</f>
        <v>Low Spender</v>
      </c>
    </row>
    <row r="241" spans="1:14" x14ac:dyDescent="0.2">
      <c r="A241" s="14" t="s">
        <v>516</v>
      </c>
      <c r="B241" s="11">
        <v>24</v>
      </c>
      <c r="C241" s="11" t="s">
        <v>841</v>
      </c>
      <c r="D241" s="11"/>
      <c r="F241" s="11" t="s">
        <v>29</v>
      </c>
      <c r="G241" s="11">
        <v>0</v>
      </c>
      <c r="H241" s="11">
        <v>5.62</v>
      </c>
      <c r="I241" s="11" t="str">
        <f>TEXT(Dataset[[#This Row],[Purchase_Date]],"[$-409]mmmm")</f>
        <v>January</v>
      </c>
      <c r="J241" s="12">
        <f>MONTH(Dataset[[#This Row],[Purchase_Date]])</f>
        <v>1</v>
      </c>
      <c r="K241" s="13" t="str">
        <f>TEXT(Dataset[[#This Row],[Purchase_Date]],"mm - [$-409]mmmm")</f>
        <v>01 - January</v>
      </c>
      <c r="L241" s="11" t="str">
        <f>IF(Dataset[[#This Row],[Purchase_Date]]="","",YEAR(Dataset[[#This Row],[Purchase_Date]]))</f>
        <v/>
      </c>
      <c r="M241" s="11" t="str" cm="1">
        <f t="array" ref="M241">_xlfn.IFS(B241&lt;=25, "Young Adults", B241&lt;=35, "Emerging Professionals", B241&lt;=50, "Established Adults", TRUE, "Mature Customers")</f>
        <v>Young Adults</v>
      </c>
      <c r="N241" s="11" t="str">
        <f>IF(Dataset[[#This Row],[Total_Spent (€)]]&lt;10,"Low Spender",IF(Dataset[[#This Row],[Total_Spent (€)]]&lt;25,"Medium Spender","High Spender"))</f>
        <v>Low Spender</v>
      </c>
    </row>
    <row r="242" spans="1:14" x14ac:dyDescent="0.2">
      <c r="A242" s="14" t="s">
        <v>515</v>
      </c>
      <c r="B242" s="11">
        <v>42</v>
      </c>
      <c r="C242" s="11" t="s">
        <v>842</v>
      </c>
      <c r="D242" s="11">
        <v>23.02</v>
      </c>
      <c r="E242" s="11" t="s">
        <v>310</v>
      </c>
      <c r="F242" s="11" t="s">
        <v>403</v>
      </c>
      <c r="G242" s="11">
        <v>1</v>
      </c>
      <c r="H242" s="11">
        <v>8.33</v>
      </c>
      <c r="I242" s="11" t="str">
        <f>TEXT(Dataset[[#This Row],[Purchase_Date]],"[$-409]mmmm")</f>
        <v>July</v>
      </c>
      <c r="J242" s="12">
        <f>MONTH(Dataset[[#This Row],[Purchase_Date]])</f>
        <v>7</v>
      </c>
      <c r="K242" s="13" t="str">
        <f>TEXT(Dataset[[#This Row],[Purchase_Date]],"mm - [$-409]mmmm")</f>
        <v>07 - July</v>
      </c>
      <c r="L242" s="11">
        <f>IF(Dataset[[#This Row],[Purchase_Date]]="","",YEAR(Dataset[[#This Row],[Purchase_Date]]))</f>
        <v>2024</v>
      </c>
      <c r="M242" s="11" t="str" cm="1">
        <f t="array" ref="M242">_xlfn.IFS(B242&lt;=25, "Young Adults", B242&lt;=35, "Emerging Professionals", B242&lt;=50, "Established Adults", TRUE, "Mature Customers")</f>
        <v>Established Adults</v>
      </c>
      <c r="N242" s="11" t="str">
        <f>IF(Dataset[[#This Row],[Total_Spent (€)]]&lt;10,"Low Spender",IF(Dataset[[#This Row],[Total_Spent (€)]]&lt;25,"Medium Spender","High Spender"))</f>
        <v>Medium Spender</v>
      </c>
    </row>
    <row r="243" spans="1:14" x14ac:dyDescent="0.2">
      <c r="A243" s="14" t="s">
        <v>514</v>
      </c>
      <c r="B243" s="11">
        <v>44</v>
      </c>
      <c r="C243" s="11" t="s">
        <v>20</v>
      </c>
      <c r="D243" s="11"/>
      <c r="F243" s="11" t="s">
        <v>460</v>
      </c>
      <c r="G243" s="11">
        <v>0</v>
      </c>
      <c r="H243" s="11">
        <v>5.24</v>
      </c>
      <c r="I243" s="11" t="str">
        <f>TEXT(Dataset[[#This Row],[Purchase_Date]],"[$-409]mmmm")</f>
        <v>January</v>
      </c>
      <c r="J243" s="12">
        <f>MONTH(Dataset[[#This Row],[Purchase_Date]])</f>
        <v>1</v>
      </c>
      <c r="K243" s="13" t="str">
        <f>TEXT(Dataset[[#This Row],[Purchase_Date]],"mm - [$-409]mmmm")</f>
        <v>01 - January</v>
      </c>
      <c r="L243" s="11" t="str">
        <f>IF(Dataset[[#This Row],[Purchase_Date]]="","",YEAR(Dataset[[#This Row],[Purchase_Date]]))</f>
        <v/>
      </c>
      <c r="M243" s="11" t="str" cm="1">
        <f t="array" ref="M243">_xlfn.IFS(B243&lt;=25, "Young Adults", B243&lt;=35, "Emerging Professionals", B243&lt;=50, "Established Adults", TRUE, "Mature Customers")</f>
        <v>Established Adults</v>
      </c>
      <c r="N243" s="11" t="str">
        <f>IF(Dataset[[#This Row],[Total_Spent (€)]]&lt;10,"Low Spender",IF(Dataset[[#This Row],[Total_Spent (€)]]&lt;25,"Medium Spender","High Spender"))</f>
        <v>Low Spender</v>
      </c>
    </row>
    <row r="244" spans="1:14" x14ac:dyDescent="0.2">
      <c r="A244" s="14" t="s">
        <v>513</v>
      </c>
      <c r="B244" s="11">
        <v>28</v>
      </c>
      <c r="C244" s="11" t="s">
        <v>842</v>
      </c>
      <c r="D244" s="11">
        <v>17.59</v>
      </c>
      <c r="E244" s="11" t="s">
        <v>474</v>
      </c>
      <c r="F244" s="11" t="s">
        <v>244</v>
      </c>
      <c r="G244" s="11">
        <v>1</v>
      </c>
      <c r="H244" s="11">
        <v>6.48</v>
      </c>
      <c r="I244" s="11" t="str">
        <f>TEXT(Dataset[[#This Row],[Purchase_Date]],"[$-409]mmmm")</f>
        <v>August</v>
      </c>
      <c r="J244" s="12">
        <f>MONTH(Dataset[[#This Row],[Purchase_Date]])</f>
        <v>8</v>
      </c>
      <c r="K244" s="13" t="str">
        <f>TEXT(Dataset[[#This Row],[Purchase_Date]],"mm - [$-409]mmmm")</f>
        <v>08 - August</v>
      </c>
      <c r="L244" s="11">
        <f>IF(Dataset[[#This Row],[Purchase_Date]]="","",YEAR(Dataset[[#This Row],[Purchase_Date]]))</f>
        <v>2024</v>
      </c>
      <c r="M244" s="11" t="str" cm="1">
        <f t="array" ref="M244">_xlfn.IFS(B244&lt;=25, "Young Adults", B244&lt;=35, "Emerging Professionals", B244&lt;=50, "Established Adults", TRUE, "Mature Customers")</f>
        <v>Emerging Professionals</v>
      </c>
      <c r="N244" s="11" t="str">
        <f>IF(Dataset[[#This Row],[Total_Spent (€)]]&lt;10,"Low Spender",IF(Dataset[[#This Row],[Total_Spent (€)]]&lt;25,"Medium Spender","High Spender"))</f>
        <v>Medium Spender</v>
      </c>
    </row>
    <row r="245" spans="1:14" x14ac:dyDescent="0.2">
      <c r="A245" s="14" t="s">
        <v>512</v>
      </c>
      <c r="B245" s="11">
        <v>39</v>
      </c>
      <c r="C245" s="11" t="s">
        <v>842</v>
      </c>
      <c r="D245" s="11">
        <v>22.59</v>
      </c>
      <c r="E245" s="11" t="s">
        <v>142</v>
      </c>
      <c r="F245" s="11" t="s">
        <v>322</v>
      </c>
      <c r="G245" s="11">
        <v>1</v>
      </c>
      <c r="H245" s="11">
        <v>9.92</v>
      </c>
      <c r="I245" s="11" t="str">
        <f>TEXT(Dataset[[#This Row],[Purchase_Date]],"[$-409]mmmm")</f>
        <v>September</v>
      </c>
      <c r="J245" s="12">
        <f>MONTH(Dataset[[#This Row],[Purchase_Date]])</f>
        <v>9</v>
      </c>
      <c r="K245" s="13" t="str">
        <f>TEXT(Dataset[[#This Row],[Purchase_Date]],"mm - [$-409]mmmm")</f>
        <v>09 - September</v>
      </c>
      <c r="L245" s="11">
        <f>IF(Dataset[[#This Row],[Purchase_Date]]="","",YEAR(Dataset[[#This Row],[Purchase_Date]]))</f>
        <v>2024</v>
      </c>
      <c r="M245" s="11" t="str" cm="1">
        <f t="array" ref="M245">_xlfn.IFS(B245&lt;=25, "Young Adults", B245&lt;=35, "Emerging Professionals", B245&lt;=50, "Established Adults", TRUE, "Mature Customers")</f>
        <v>Established Adults</v>
      </c>
      <c r="N245" s="11" t="str">
        <f>IF(Dataset[[#This Row],[Total_Spent (€)]]&lt;10,"Low Spender",IF(Dataset[[#This Row],[Total_Spent (€)]]&lt;25,"Medium Spender","High Spender"))</f>
        <v>Medium Spender</v>
      </c>
    </row>
    <row r="246" spans="1:14" x14ac:dyDescent="0.2">
      <c r="A246" s="14" t="s">
        <v>511</v>
      </c>
      <c r="B246" s="11">
        <v>34</v>
      </c>
      <c r="C246" s="11" t="s">
        <v>38</v>
      </c>
      <c r="D246" s="11"/>
      <c r="F246" s="11" t="s">
        <v>231</v>
      </c>
      <c r="G246" s="11">
        <v>0</v>
      </c>
      <c r="H246" s="11">
        <v>8.18</v>
      </c>
      <c r="I246" s="11" t="str">
        <f>TEXT(Dataset[[#This Row],[Purchase_Date]],"[$-409]mmmm")</f>
        <v>January</v>
      </c>
      <c r="J246" s="12">
        <f>MONTH(Dataset[[#This Row],[Purchase_Date]])</f>
        <v>1</v>
      </c>
      <c r="K246" s="13" t="str">
        <f>TEXT(Dataset[[#This Row],[Purchase_Date]],"mm - [$-409]mmmm")</f>
        <v>01 - January</v>
      </c>
      <c r="L246" s="11" t="str">
        <f>IF(Dataset[[#This Row],[Purchase_Date]]="","",YEAR(Dataset[[#This Row],[Purchase_Date]]))</f>
        <v/>
      </c>
      <c r="M246" s="11" t="str" cm="1">
        <f t="array" ref="M246">_xlfn.IFS(B246&lt;=25, "Young Adults", B246&lt;=35, "Emerging Professionals", B246&lt;=50, "Established Adults", TRUE, "Mature Customers")</f>
        <v>Emerging Professionals</v>
      </c>
      <c r="N246" s="11" t="str">
        <f>IF(Dataset[[#This Row],[Total_Spent (€)]]&lt;10,"Low Spender",IF(Dataset[[#This Row],[Total_Spent (€)]]&lt;25,"Medium Spender","High Spender"))</f>
        <v>Low Spender</v>
      </c>
    </row>
    <row r="247" spans="1:14" x14ac:dyDescent="0.2">
      <c r="A247" s="14" t="s">
        <v>510</v>
      </c>
      <c r="B247" s="11">
        <v>40</v>
      </c>
      <c r="C247" s="11" t="s">
        <v>30</v>
      </c>
      <c r="D247" s="11"/>
      <c r="F247" s="11" t="s">
        <v>509</v>
      </c>
      <c r="G247" s="11">
        <v>0</v>
      </c>
      <c r="H247" s="11">
        <v>2.35</v>
      </c>
      <c r="I247" s="11" t="str">
        <f>TEXT(Dataset[[#This Row],[Purchase_Date]],"[$-409]mmmm")</f>
        <v>January</v>
      </c>
      <c r="J247" s="12">
        <f>MONTH(Dataset[[#This Row],[Purchase_Date]])</f>
        <v>1</v>
      </c>
      <c r="K247" s="13" t="str">
        <f>TEXT(Dataset[[#This Row],[Purchase_Date]],"mm - [$-409]mmmm")</f>
        <v>01 - January</v>
      </c>
      <c r="L247" s="11" t="str">
        <f>IF(Dataset[[#This Row],[Purchase_Date]]="","",YEAR(Dataset[[#This Row],[Purchase_Date]]))</f>
        <v/>
      </c>
      <c r="M247" s="11" t="str" cm="1">
        <f t="array" ref="M247">_xlfn.IFS(B247&lt;=25, "Young Adults", B247&lt;=35, "Emerging Professionals", B247&lt;=50, "Established Adults", TRUE, "Mature Customers")</f>
        <v>Established Adults</v>
      </c>
      <c r="N247" s="11" t="str">
        <f>IF(Dataset[[#This Row],[Total_Spent (€)]]&lt;10,"Low Spender",IF(Dataset[[#This Row],[Total_Spent (€)]]&lt;25,"Medium Spender","High Spender"))</f>
        <v>Low Spender</v>
      </c>
    </row>
    <row r="248" spans="1:14" x14ac:dyDescent="0.2">
      <c r="A248" s="14" t="s">
        <v>508</v>
      </c>
      <c r="B248" s="11">
        <v>43</v>
      </c>
      <c r="C248" s="11" t="s">
        <v>847</v>
      </c>
      <c r="D248" s="11"/>
      <c r="F248" s="11" t="s">
        <v>507</v>
      </c>
      <c r="G248" s="11">
        <v>0</v>
      </c>
      <c r="H248" s="11">
        <v>7.89</v>
      </c>
      <c r="I248" s="11" t="str">
        <f>TEXT(Dataset[[#This Row],[Purchase_Date]],"[$-409]mmmm")</f>
        <v>January</v>
      </c>
      <c r="J248" s="12">
        <f>MONTH(Dataset[[#This Row],[Purchase_Date]])</f>
        <v>1</v>
      </c>
      <c r="K248" s="13" t="str">
        <f>TEXT(Dataset[[#This Row],[Purchase_Date]],"mm - [$-409]mmmm")</f>
        <v>01 - January</v>
      </c>
      <c r="L248" s="11" t="str">
        <f>IF(Dataset[[#This Row],[Purchase_Date]]="","",YEAR(Dataset[[#This Row],[Purchase_Date]]))</f>
        <v/>
      </c>
      <c r="M248" s="11" t="str" cm="1">
        <f t="array" ref="M248">_xlfn.IFS(B248&lt;=25, "Young Adults", B248&lt;=35, "Emerging Professionals", B248&lt;=50, "Established Adults", TRUE, "Mature Customers")</f>
        <v>Established Adults</v>
      </c>
      <c r="N248" s="11" t="str">
        <f>IF(Dataset[[#This Row],[Total_Spent (€)]]&lt;10,"Low Spender",IF(Dataset[[#This Row],[Total_Spent (€)]]&lt;25,"Medium Spender","High Spender"))</f>
        <v>Low Spender</v>
      </c>
    </row>
    <row r="249" spans="1:14" x14ac:dyDescent="0.2">
      <c r="A249" s="14" t="s">
        <v>506</v>
      </c>
      <c r="B249" s="11">
        <v>41</v>
      </c>
      <c r="C249" s="11" t="s">
        <v>842</v>
      </c>
      <c r="D249" s="11">
        <v>10.6</v>
      </c>
      <c r="E249" s="11" t="s">
        <v>505</v>
      </c>
      <c r="F249" s="11" t="s">
        <v>504</v>
      </c>
      <c r="G249" s="11">
        <v>1</v>
      </c>
      <c r="H249" s="11">
        <v>7.77</v>
      </c>
      <c r="I249" s="11" t="str">
        <f>TEXT(Dataset[[#This Row],[Purchase_Date]],"[$-409]mmmm")</f>
        <v>November</v>
      </c>
      <c r="J249" s="12">
        <f>MONTH(Dataset[[#This Row],[Purchase_Date]])</f>
        <v>11</v>
      </c>
      <c r="K249" s="13" t="str">
        <f>TEXT(Dataset[[#This Row],[Purchase_Date]],"mm - [$-409]mmmm")</f>
        <v>11 - November</v>
      </c>
      <c r="L249" s="11">
        <f>IF(Dataset[[#This Row],[Purchase_Date]]="","",YEAR(Dataset[[#This Row],[Purchase_Date]]))</f>
        <v>2024</v>
      </c>
      <c r="M249" s="11" t="str" cm="1">
        <f t="array" ref="M249">_xlfn.IFS(B249&lt;=25, "Young Adults", B249&lt;=35, "Emerging Professionals", B249&lt;=50, "Established Adults", TRUE, "Mature Customers")</f>
        <v>Established Adults</v>
      </c>
      <c r="N249" s="11" t="str">
        <f>IF(Dataset[[#This Row],[Total_Spent (€)]]&lt;10,"Low Spender",IF(Dataset[[#This Row],[Total_Spent (€)]]&lt;25,"Medium Spender","High Spender"))</f>
        <v>Medium Spender</v>
      </c>
    </row>
    <row r="250" spans="1:14" x14ac:dyDescent="0.2">
      <c r="A250" s="14" t="s">
        <v>503</v>
      </c>
      <c r="B250" s="11">
        <v>48</v>
      </c>
      <c r="C250" s="11" t="s">
        <v>844</v>
      </c>
      <c r="D250" s="11"/>
      <c r="F250" s="11" t="s">
        <v>265</v>
      </c>
      <c r="G250" s="11">
        <v>0</v>
      </c>
      <c r="H250" s="11">
        <v>6.21</v>
      </c>
      <c r="I250" s="11" t="str">
        <f>TEXT(Dataset[[#This Row],[Purchase_Date]],"[$-409]mmmm")</f>
        <v>January</v>
      </c>
      <c r="J250" s="12">
        <f>MONTH(Dataset[[#This Row],[Purchase_Date]])</f>
        <v>1</v>
      </c>
      <c r="K250" s="13" t="str">
        <f>TEXT(Dataset[[#This Row],[Purchase_Date]],"mm - [$-409]mmmm")</f>
        <v>01 - January</v>
      </c>
      <c r="L250" s="11" t="str">
        <f>IF(Dataset[[#This Row],[Purchase_Date]]="","",YEAR(Dataset[[#This Row],[Purchase_Date]]))</f>
        <v/>
      </c>
      <c r="M250" s="11" t="str" cm="1">
        <f t="array" ref="M250">_xlfn.IFS(B250&lt;=25, "Young Adults", B250&lt;=35, "Emerging Professionals", B250&lt;=50, "Established Adults", TRUE, "Mature Customers")</f>
        <v>Established Adults</v>
      </c>
      <c r="N250" s="11" t="str">
        <f>IF(Dataset[[#This Row],[Total_Spent (€)]]&lt;10,"Low Spender",IF(Dataset[[#This Row],[Total_Spent (€)]]&lt;25,"Medium Spender","High Spender"))</f>
        <v>Low Spender</v>
      </c>
    </row>
    <row r="251" spans="1:14" x14ac:dyDescent="0.2">
      <c r="A251" s="14" t="s">
        <v>502</v>
      </c>
      <c r="B251" s="11">
        <v>36</v>
      </c>
      <c r="C251" s="11" t="s">
        <v>75</v>
      </c>
      <c r="D251" s="11"/>
      <c r="F251" s="11" t="s">
        <v>169</v>
      </c>
      <c r="G251" s="11">
        <v>0</v>
      </c>
      <c r="H251" s="11">
        <v>7.51</v>
      </c>
      <c r="I251" s="11" t="str">
        <f>TEXT(Dataset[[#This Row],[Purchase_Date]],"[$-409]mmmm")</f>
        <v>January</v>
      </c>
      <c r="J251" s="12">
        <f>MONTH(Dataset[[#This Row],[Purchase_Date]])</f>
        <v>1</v>
      </c>
      <c r="K251" s="13" t="str">
        <f>TEXT(Dataset[[#This Row],[Purchase_Date]],"mm - [$-409]mmmm")</f>
        <v>01 - January</v>
      </c>
      <c r="L251" s="11" t="str">
        <f>IF(Dataset[[#This Row],[Purchase_Date]]="","",YEAR(Dataset[[#This Row],[Purchase_Date]]))</f>
        <v/>
      </c>
      <c r="M251" s="11" t="str" cm="1">
        <f t="array" ref="M251">_xlfn.IFS(B251&lt;=25, "Young Adults", B251&lt;=35, "Emerging Professionals", B251&lt;=50, "Established Adults", TRUE, "Mature Customers")</f>
        <v>Established Adults</v>
      </c>
      <c r="N251" s="11" t="str">
        <f>IF(Dataset[[#This Row],[Total_Spent (€)]]&lt;10,"Low Spender",IF(Dataset[[#This Row],[Total_Spent (€)]]&lt;25,"Medium Spender","High Spender"))</f>
        <v>Low Spender</v>
      </c>
    </row>
    <row r="252" spans="1:14" x14ac:dyDescent="0.2">
      <c r="A252" s="14" t="s">
        <v>501</v>
      </c>
      <c r="B252" s="11">
        <v>18</v>
      </c>
      <c r="C252" s="11" t="s">
        <v>75</v>
      </c>
      <c r="D252" s="11"/>
      <c r="F252" s="11" t="s">
        <v>500</v>
      </c>
      <c r="G252" s="11">
        <v>0</v>
      </c>
      <c r="H252" s="11">
        <v>6.38</v>
      </c>
      <c r="I252" s="11" t="str">
        <f>TEXT(Dataset[[#This Row],[Purchase_Date]],"[$-409]mmmm")</f>
        <v>January</v>
      </c>
      <c r="J252" s="12">
        <f>MONTH(Dataset[[#This Row],[Purchase_Date]])</f>
        <v>1</v>
      </c>
      <c r="K252" s="13" t="str">
        <f>TEXT(Dataset[[#This Row],[Purchase_Date]],"mm - [$-409]mmmm")</f>
        <v>01 - January</v>
      </c>
      <c r="L252" s="11" t="str">
        <f>IF(Dataset[[#This Row],[Purchase_Date]]="","",YEAR(Dataset[[#This Row],[Purchase_Date]]))</f>
        <v/>
      </c>
      <c r="M252" s="11" t="str" cm="1">
        <f t="array" ref="M252">_xlfn.IFS(B252&lt;=25, "Young Adults", B252&lt;=35, "Emerging Professionals", B252&lt;=50, "Established Adults", TRUE, "Mature Customers")</f>
        <v>Young Adults</v>
      </c>
      <c r="N252" s="11" t="str">
        <f>IF(Dataset[[#This Row],[Total_Spent (€)]]&lt;10,"Low Spender",IF(Dataset[[#This Row],[Total_Spent (€)]]&lt;25,"Medium Spender","High Spender"))</f>
        <v>Low Spender</v>
      </c>
    </row>
    <row r="253" spans="1:14" x14ac:dyDescent="0.2">
      <c r="A253" s="14" t="s">
        <v>499</v>
      </c>
      <c r="B253" s="11">
        <v>44</v>
      </c>
      <c r="C253" s="11" t="s">
        <v>844</v>
      </c>
      <c r="D253" s="11"/>
      <c r="F253" s="11" t="s">
        <v>229</v>
      </c>
      <c r="G253" s="11">
        <v>0</v>
      </c>
      <c r="H253" s="11">
        <v>9.43</v>
      </c>
      <c r="I253" s="11" t="str">
        <f>TEXT(Dataset[[#This Row],[Purchase_Date]],"[$-409]mmmm")</f>
        <v>January</v>
      </c>
      <c r="J253" s="12">
        <f>MONTH(Dataset[[#This Row],[Purchase_Date]])</f>
        <v>1</v>
      </c>
      <c r="K253" s="13" t="str">
        <f>TEXT(Dataset[[#This Row],[Purchase_Date]],"mm - [$-409]mmmm")</f>
        <v>01 - January</v>
      </c>
      <c r="L253" s="11" t="str">
        <f>IF(Dataset[[#This Row],[Purchase_Date]]="","",YEAR(Dataset[[#This Row],[Purchase_Date]]))</f>
        <v/>
      </c>
      <c r="M253" s="11" t="str" cm="1">
        <f t="array" ref="M253">_xlfn.IFS(B253&lt;=25, "Young Adults", B253&lt;=35, "Emerging Professionals", B253&lt;=50, "Established Adults", TRUE, "Mature Customers")</f>
        <v>Established Adults</v>
      </c>
      <c r="N253" s="11" t="str">
        <f>IF(Dataset[[#This Row],[Total_Spent (€)]]&lt;10,"Low Spender",IF(Dataset[[#This Row],[Total_Spent (€)]]&lt;25,"Medium Spender","High Spender"))</f>
        <v>Low Spender</v>
      </c>
    </row>
    <row r="254" spans="1:14" x14ac:dyDescent="0.2">
      <c r="A254" s="14" t="s">
        <v>498</v>
      </c>
      <c r="B254" s="11">
        <v>25</v>
      </c>
      <c r="C254" s="11" t="s">
        <v>840</v>
      </c>
      <c r="D254" s="11"/>
      <c r="F254" s="11" t="s">
        <v>113</v>
      </c>
      <c r="G254" s="11">
        <v>0</v>
      </c>
      <c r="H254" s="11">
        <v>6.46</v>
      </c>
      <c r="I254" s="11" t="str">
        <f>TEXT(Dataset[[#This Row],[Purchase_Date]],"[$-409]mmmm")</f>
        <v>January</v>
      </c>
      <c r="J254" s="12">
        <f>MONTH(Dataset[[#This Row],[Purchase_Date]])</f>
        <v>1</v>
      </c>
      <c r="K254" s="13" t="str">
        <f>TEXT(Dataset[[#This Row],[Purchase_Date]],"mm - [$-409]mmmm")</f>
        <v>01 - January</v>
      </c>
      <c r="L254" s="11" t="str">
        <f>IF(Dataset[[#This Row],[Purchase_Date]]="","",YEAR(Dataset[[#This Row],[Purchase_Date]]))</f>
        <v/>
      </c>
      <c r="M254" s="11" t="str" cm="1">
        <f t="array" ref="M254">_xlfn.IFS(B254&lt;=25, "Young Adults", B254&lt;=35, "Emerging Professionals", B254&lt;=50, "Established Adults", TRUE, "Mature Customers")</f>
        <v>Young Adults</v>
      </c>
      <c r="N254" s="11" t="str">
        <f>IF(Dataset[[#This Row],[Total_Spent (€)]]&lt;10,"Low Spender",IF(Dataset[[#This Row],[Total_Spent (€)]]&lt;25,"Medium Spender","High Spender"))</f>
        <v>Low Spender</v>
      </c>
    </row>
    <row r="255" spans="1:14" x14ac:dyDescent="0.2">
      <c r="A255" s="14" t="s">
        <v>497</v>
      </c>
      <c r="B255" s="11">
        <v>43</v>
      </c>
      <c r="C255" s="11" t="s">
        <v>86</v>
      </c>
      <c r="D255" s="11"/>
      <c r="F255" s="11" t="s">
        <v>496</v>
      </c>
      <c r="G255" s="11">
        <v>0</v>
      </c>
      <c r="H255" s="11">
        <v>2.42</v>
      </c>
      <c r="I255" s="11" t="str">
        <f>TEXT(Dataset[[#This Row],[Purchase_Date]],"[$-409]mmmm")</f>
        <v>January</v>
      </c>
      <c r="J255" s="12">
        <f>MONTH(Dataset[[#This Row],[Purchase_Date]])</f>
        <v>1</v>
      </c>
      <c r="K255" s="13" t="str">
        <f>TEXT(Dataset[[#This Row],[Purchase_Date]],"mm - [$-409]mmmm")</f>
        <v>01 - January</v>
      </c>
      <c r="L255" s="11" t="str">
        <f>IF(Dataset[[#This Row],[Purchase_Date]]="","",YEAR(Dataset[[#This Row],[Purchase_Date]]))</f>
        <v/>
      </c>
      <c r="M255" s="11" t="str" cm="1">
        <f t="array" ref="M255">_xlfn.IFS(B255&lt;=25, "Young Adults", B255&lt;=35, "Emerging Professionals", B255&lt;=50, "Established Adults", TRUE, "Mature Customers")</f>
        <v>Established Adults</v>
      </c>
      <c r="N255" s="11" t="str">
        <f>IF(Dataset[[#This Row],[Total_Spent (€)]]&lt;10,"Low Spender",IF(Dataset[[#This Row],[Total_Spent (€)]]&lt;25,"Medium Spender","High Spender"))</f>
        <v>Low Spender</v>
      </c>
    </row>
    <row r="256" spans="1:14" x14ac:dyDescent="0.2">
      <c r="A256" s="14" t="s">
        <v>495</v>
      </c>
      <c r="B256" s="11">
        <v>37</v>
      </c>
      <c r="C256" s="11" t="s">
        <v>17</v>
      </c>
      <c r="D256" s="11"/>
      <c r="F256" s="11" t="s">
        <v>58</v>
      </c>
      <c r="G256" s="11">
        <v>0</v>
      </c>
      <c r="H256" s="11">
        <v>7.37</v>
      </c>
      <c r="I256" s="11" t="str">
        <f>TEXT(Dataset[[#This Row],[Purchase_Date]],"[$-409]mmmm")</f>
        <v>January</v>
      </c>
      <c r="J256" s="12">
        <f>MONTH(Dataset[[#This Row],[Purchase_Date]])</f>
        <v>1</v>
      </c>
      <c r="K256" s="13" t="str">
        <f>TEXT(Dataset[[#This Row],[Purchase_Date]],"mm - [$-409]mmmm")</f>
        <v>01 - January</v>
      </c>
      <c r="L256" s="11" t="str">
        <f>IF(Dataset[[#This Row],[Purchase_Date]]="","",YEAR(Dataset[[#This Row],[Purchase_Date]]))</f>
        <v/>
      </c>
      <c r="M256" s="11" t="str" cm="1">
        <f t="array" ref="M256">_xlfn.IFS(B256&lt;=25, "Young Adults", B256&lt;=35, "Emerging Professionals", B256&lt;=50, "Established Adults", TRUE, "Mature Customers")</f>
        <v>Established Adults</v>
      </c>
      <c r="N256" s="11" t="str">
        <f>IF(Dataset[[#This Row],[Total_Spent (€)]]&lt;10,"Low Spender",IF(Dataset[[#This Row],[Total_Spent (€)]]&lt;25,"Medium Spender","High Spender"))</f>
        <v>Low Spender</v>
      </c>
    </row>
    <row r="257" spans="1:14" x14ac:dyDescent="0.2">
      <c r="A257" s="14" t="s">
        <v>494</v>
      </c>
      <c r="B257" s="11">
        <v>25</v>
      </c>
      <c r="C257" s="11" t="s">
        <v>845</v>
      </c>
      <c r="D257" s="11">
        <v>23.11</v>
      </c>
      <c r="E257" s="11" t="s">
        <v>15</v>
      </c>
      <c r="F257" s="11" t="s">
        <v>493</v>
      </c>
      <c r="G257" s="11">
        <v>1</v>
      </c>
      <c r="H257" s="11">
        <v>4.17</v>
      </c>
      <c r="I257" s="11" t="str">
        <f>TEXT(Dataset[[#This Row],[Purchase_Date]],"[$-409]mmmm")</f>
        <v>May</v>
      </c>
      <c r="J257" s="12">
        <f>MONTH(Dataset[[#This Row],[Purchase_Date]])</f>
        <v>5</v>
      </c>
      <c r="K257" s="13" t="str">
        <f>TEXT(Dataset[[#This Row],[Purchase_Date]],"mm - [$-409]mmmm")</f>
        <v>05 - May</v>
      </c>
      <c r="L257" s="11">
        <f>IF(Dataset[[#This Row],[Purchase_Date]]="","",YEAR(Dataset[[#This Row],[Purchase_Date]]))</f>
        <v>2025</v>
      </c>
      <c r="M257" s="11" t="str" cm="1">
        <f t="array" ref="M257">_xlfn.IFS(B257&lt;=25, "Young Adults", B257&lt;=35, "Emerging Professionals", B257&lt;=50, "Established Adults", TRUE, "Mature Customers")</f>
        <v>Young Adults</v>
      </c>
      <c r="N257" s="11" t="str">
        <f>IF(Dataset[[#This Row],[Total_Spent (€)]]&lt;10,"Low Spender",IF(Dataset[[#This Row],[Total_Spent (€)]]&lt;25,"Medium Spender","High Spender"))</f>
        <v>Medium Spender</v>
      </c>
    </row>
    <row r="258" spans="1:14" x14ac:dyDescent="0.2">
      <c r="A258" s="14" t="s">
        <v>492</v>
      </c>
      <c r="B258" s="11">
        <v>30</v>
      </c>
      <c r="C258" s="11" t="s">
        <v>5</v>
      </c>
      <c r="D258" s="11"/>
      <c r="F258" s="11" t="s">
        <v>491</v>
      </c>
      <c r="G258" s="11">
        <v>0</v>
      </c>
      <c r="H258" s="11">
        <v>5.0199999999999996</v>
      </c>
      <c r="I258" s="11" t="str">
        <f>TEXT(Dataset[[#This Row],[Purchase_Date]],"[$-409]mmmm")</f>
        <v>January</v>
      </c>
      <c r="J258" s="12">
        <f>MONTH(Dataset[[#This Row],[Purchase_Date]])</f>
        <v>1</v>
      </c>
      <c r="K258" s="13" t="str">
        <f>TEXT(Dataset[[#This Row],[Purchase_Date]],"mm - [$-409]mmmm")</f>
        <v>01 - January</v>
      </c>
      <c r="L258" s="11" t="str">
        <f>IF(Dataset[[#This Row],[Purchase_Date]]="","",YEAR(Dataset[[#This Row],[Purchase_Date]]))</f>
        <v/>
      </c>
      <c r="M258" s="11" t="str" cm="1">
        <f t="array" ref="M258">_xlfn.IFS(B258&lt;=25, "Young Adults", B258&lt;=35, "Emerging Professionals", B258&lt;=50, "Established Adults", TRUE, "Mature Customers")</f>
        <v>Emerging Professionals</v>
      </c>
      <c r="N258" s="11" t="str">
        <f>IF(Dataset[[#This Row],[Total_Spent (€)]]&lt;10,"Low Spender",IF(Dataset[[#This Row],[Total_Spent (€)]]&lt;25,"Medium Spender","High Spender"))</f>
        <v>Low Spender</v>
      </c>
    </row>
    <row r="259" spans="1:14" x14ac:dyDescent="0.2">
      <c r="A259" s="14" t="s">
        <v>490</v>
      </c>
      <c r="B259" s="11">
        <v>54</v>
      </c>
      <c r="C259" s="11" t="s">
        <v>9</v>
      </c>
      <c r="D259" s="11"/>
      <c r="F259" s="11" t="s">
        <v>489</v>
      </c>
      <c r="G259" s="11">
        <v>0</v>
      </c>
      <c r="H259" s="11">
        <v>8.2200000000000006</v>
      </c>
      <c r="I259" s="11" t="str">
        <f>TEXT(Dataset[[#This Row],[Purchase_Date]],"[$-409]mmmm")</f>
        <v>January</v>
      </c>
      <c r="J259" s="12">
        <f>MONTH(Dataset[[#This Row],[Purchase_Date]])</f>
        <v>1</v>
      </c>
      <c r="K259" s="13" t="str">
        <f>TEXT(Dataset[[#This Row],[Purchase_Date]],"mm - [$-409]mmmm")</f>
        <v>01 - January</v>
      </c>
      <c r="L259" s="11" t="str">
        <f>IF(Dataset[[#This Row],[Purchase_Date]]="","",YEAR(Dataset[[#This Row],[Purchase_Date]]))</f>
        <v/>
      </c>
      <c r="M259" s="11" t="str" cm="1">
        <f t="array" ref="M259">_xlfn.IFS(B259&lt;=25, "Young Adults", B259&lt;=35, "Emerging Professionals", B259&lt;=50, "Established Adults", TRUE, "Mature Customers")</f>
        <v>Mature Customers</v>
      </c>
      <c r="N259" s="11" t="str">
        <f>IF(Dataset[[#This Row],[Total_Spent (€)]]&lt;10,"Low Spender",IF(Dataset[[#This Row],[Total_Spent (€)]]&lt;25,"Medium Spender","High Spender"))</f>
        <v>Low Spender</v>
      </c>
    </row>
    <row r="260" spans="1:14" x14ac:dyDescent="0.2">
      <c r="A260" s="14" t="s">
        <v>488</v>
      </c>
      <c r="B260" s="11">
        <v>46</v>
      </c>
      <c r="C260" s="11" t="s">
        <v>86</v>
      </c>
      <c r="D260" s="11"/>
      <c r="F260" s="11" t="s">
        <v>238</v>
      </c>
      <c r="G260" s="11">
        <v>0</v>
      </c>
      <c r="H260" s="11">
        <v>5.28</v>
      </c>
      <c r="I260" s="11" t="str">
        <f>TEXT(Dataset[[#This Row],[Purchase_Date]],"[$-409]mmmm")</f>
        <v>January</v>
      </c>
      <c r="J260" s="12">
        <f>MONTH(Dataset[[#This Row],[Purchase_Date]])</f>
        <v>1</v>
      </c>
      <c r="K260" s="13" t="str">
        <f>TEXT(Dataset[[#This Row],[Purchase_Date]],"mm - [$-409]mmmm")</f>
        <v>01 - January</v>
      </c>
      <c r="L260" s="11" t="str">
        <f>IF(Dataset[[#This Row],[Purchase_Date]]="","",YEAR(Dataset[[#This Row],[Purchase_Date]]))</f>
        <v/>
      </c>
      <c r="M260" s="11" t="str" cm="1">
        <f t="array" ref="M260">_xlfn.IFS(B260&lt;=25, "Young Adults", B260&lt;=35, "Emerging Professionals", B260&lt;=50, "Established Adults", TRUE, "Mature Customers")</f>
        <v>Established Adults</v>
      </c>
      <c r="N260" s="11" t="str">
        <f>IF(Dataset[[#This Row],[Total_Spent (€)]]&lt;10,"Low Spender",IF(Dataset[[#This Row],[Total_Spent (€)]]&lt;25,"Medium Spender","High Spender"))</f>
        <v>Low Spender</v>
      </c>
    </row>
    <row r="261" spans="1:14" x14ac:dyDescent="0.2">
      <c r="A261" s="14" t="s">
        <v>487</v>
      </c>
      <c r="B261" s="11">
        <v>32</v>
      </c>
      <c r="C261" s="11" t="s">
        <v>842</v>
      </c>
      <c r="D261" s="11"/>
      <c r="F261" s="11" t="s">
        <v>98</v>
      </c>
      <c r="G261" s="11">
        <v>0</v>
      </c>
      <c r="H261" s="11">
        <v>9.92</v>
      </c>
      <c r="I261" s="11" t="str">
        <f>TEXT(Dataset[[#This Row],[Purchase_Date]],"[$-409]mmmm")</f>
        <v>January</v>
      </c>
      <c r="J261" s="12">
        <f>MONTH(Dataset[[#This Row],[Purchase_Date]])</f>
        <v>1</v>
      </c>
      <c r="K261" s="13" t="str">
        <f>TEXT(Dataset[[#This Row],[Purchase_Date]],"mm - [$-409]mmmm")</f>
        <v>01 - January</v>
      </c>
      <c r="L261" s="11" t="str">
        <f>IF(Dataset[[#This Row],[Purchase_Date]]="","",YEAR(Dataset[[#This Row],[Purchase_Date]]))</f>
        <v/>
      </c>
      <c r="M261" s="11" t="str" cm="1">
        <f t="array" ref="M261">_xlfn.IFS(B261&lt;=25, "Young Adults", B261&lt;=35, "Emerging Professionals", B261&lt;=50, "Established Adults", TRUE, "Mature Customers")</f>
        <v>Emerging Professionals</v>
      </c>
      <c r="N261" s="11" t="str">
        <f>IF(Dataset[[#This Row],[Total_Spent (€)]]&lt;10,"Low Spender",IF(Dataset[[#This Row],[Total_Spent (€)]]&lt;25,"Medium Spender","High Spender"))</f>
        <v>Low Spender</v>
      </c>
    </row>
    <row r="262" spans="1:14" x14ac:dyDescent="0.2">
      <c r="A262" s="14" t="s">
        <v>486</v>
      </c>
      <c r="B262" s="11">
        <v>20</v>
      </c>
      <c r="C262" s="11" t="s">
        <v>17</v>
      </c>
      <c r="D262" s="11"/>
      <c r="F262" s="11" t="s">
        <v>485</v>
      </c>
      <c r="G262" s="11">
        <v>0</v>
      </c>
      <c r="H262" s="11">
        <v>8.85</v>
      </c>
      <c r="I262" s="11" t="str">
        <f>TEXT(Dataset[[#This Row],[Purchase_Date]],"[$-409]mmmm")</f>
        <v>January</v>
      </c>
      <c r="J262" s="12">
        <f>MONTH(Dataset[[#This Row],[Purchase_Date]])</f>
        <v>1</v>
      </c>
      <c r="K262" s="13" t="str">
        <f>TEXT(Dataset[[#This Row],[Purchase_Date]],"mm - [$-409]mmmm")</f>
        <v>01 - January</v>
      </c>
      <c r="L262" s="11" t="str">
        <f>IF(Dataset[[#This Row],[Purchase_Date]]="","",YEAR(Dataset[[#This Row],[Purchase_Date]]))</f>
        <v/>
      </c>
      <c r="M262" s="11" t="str" cm="1">
        <f t="array" ref="M262">_xlfn.IFS(B262&lt;=25, "Young Adults", B262&lt;=35, "Emerging Professionals", B262&lt;=50, "Established Adults", TRUE, "Mature Customers")</f>
        <v>Young Adults</v>
      </c>
      <c r="N262" s="11" t="str">
        <f>IF(Dataset[[#This Row],[Total_Spent (€)]]&lt;10,"Low Spender",IF(Dataset[[#This Row],[Total_Spent (€)]]&lt;25,"Medium Spender","High Spender"))</f>
        <v>Low Spender</v>
      </c>
    </row>
    <row r="263" spans="1:14" x14ac:dyDescent="0.2">
      <c r="A263" s="14" t="s">
        <v>484</v>
      </c>
      <c r="B263" s="11">
        <v>43</v>
      </c>
      <c r="C263" s="11" t="s">
        <v>86</v>
      </c>
      <c r="D263" s="11"/>
      <c r="F263" s="11" t="s">
        <v>137</v>
      </c>
      <c r="G263" s="11">
        <v>0</v>
      </c>
      <c r="H263" s="11">
        <v>3.68</v>
      </c>
      <c r="I263" s="11" t="str">
        <f>TEXT(Dataset[[#This Row],[Purchase_Date]],"[$-409]mmmm")</f>
        <v>January</v>
      </c>
      <c r="J263" s="12">
        <f>MONTH(Dataset[[#This Row],[Purchase_Date]])</f>
        <v>1</v>
      </c>
      <c r="K263" s="13" t="str">
        <f>TEXT(Dataset[[#This Row],[Purchase_Date]],"mm - [$-409]mmmm")</f>
        <v>01 - January</v>
      </c>
      <c r="L263" s="11" t="str">
        <f>IF(Dataset[[#This Row],[Purchase_Date]]="","",YEAR(Dataset[[#This Row],[Purchase_Date]]))</f>
        <v/>
      </c>
      <c r="M263" s="11" t="str" cm="1">
        <f t="array" ref="M263">_xlfn.IFS(B263&lt;=25, "Young Adults", B263&lt;=35, "Emerging Professionals", B263&lt;=50, "Established Adults", TRUE, "Mature Customers")</f>
        <v>Established Adults</v>
      </c>
      <c r="N263" s="11" t="str">
        <f>IF(Dataset[[#This Row],[Total_Spent (€)]]&lt;10,"Low Spender",IF(Dataset[[#This Row],[Total_Spent (€)]]&lt;25,"Medium Spender","High Spender"))</f>
        <v>Low Spender</v>
      </c>
    </row>
    <row r="264" spans="1:14" x14ac:dyDescent="0.2">
      <c r="A264" s="14" t="s">
        <v>483</v>
      </c>
      <c r="B264" s="11">
        <v>48</v>
      </c>
      <c r="C264" s="11" t="s">
        <v>843</v>
      </c>
      <c r="D264" s="11"/>
      <c r="F264" s="11" t="s">
        <v>482</v>
      </c>
      <c r="G264" s="11">
        <v>0</v>
      </c>
      <c r="H264" s="11">
        <v>3.18</v>
      </c>
      <c r="I264" s="11" t="str">
        <f>TEXT(Dataset[[#This Row],[Purchase_Date]],"[$-409]mmmm")</f>
        <v>January</v>
      </c>
      <c r="J264" s="12">
        <f>MONTH(Dataset[[#This Row],[Purchase_Date]])</f>
        <v>1</v>
      </c>
      <c r="K264" s="13" t="str">
        <f>TEXT(Dataset[[#This Row],[Purchase_Date]],"mm - [$-409]mmmm")</f>
        <v>01 - January</v>
      </c>
      <c r="L264" s="11" t="str">
        <f>IF(Dataset[[#This Row],[Purchase_Date]]="","",YEAR(Dataset[[#This Row],[Purchase_Date]]))</f>
        <v/>
      </c>
      <c r="M264" s="11" t="str" cm="1">
        <f t="array" ref="M264">_xlfn.IFS(B264&lt;=25, "Young Adults", B264&lt;=35, "Emerging Professionals", B264&lt;=50, "Established Adults", TRUE, "Mature Customers")</f>
        <v>Established Adults</v>
      </c>
      <c r="N264" s="11" t="str">
        <f>IF(Dataset[[#This Row],[Total_Spent (€)]]&lt;10,"Low Spender",IF(Dataset[[#This Row],[Total_Spent (€)]]&lt;25,"Medium Spender","High Spender"))</f>
        <v>Low Spender</v>
      </c>
    </row>
    <row r="265" spans="1:14" x14ac:dyDescent="0.2">
      <c r="A265" s="14" t="s">
        <v>481</v>
      </c>
      <c r="B265" s="11">
        <v>25</v>
      </c>
      <c r="C265" s="11" t="s">
        <v>840</v>
      </c>
      <c r="D265" s="11"/>
      <c r="F265" s="11" t="s">
        <v>480</v>
      </c>
      <c r="G265" s="11">
        <v>0</v>
      </c>
      <c r="H265" s="11">
        <v>4.34</v>
      </c>
      <c r="I265" s="11" t="str">
        <f>TEXT(Dataset[[#This Row],[Purchase_Date]],"[$-409]mmmm")</f>
        <v>January</v>
      </c>
      <c r="J265" s="12">
        <f>MONTH(Dataset[[#This Row],[Purchase_Date]])</f>
        <v>1</v>
      </c>
      <c r="K265" s="13" t="str">
        <f>TEXT(Dataset[[#This Row],[Purchase_Date]],"mm - [$-409]mmmm")</f>
        <v>01 - January</v>
      </c>
      <c r="L265" s="11" t="str">
        <f>IF(Dataset[[#This Row],[Purchase_Date]]="","",YEAR(Dataset[[#This Row],[Purchase_Date]]))</f>
        <v/>
      </c>
      <c r="M265" s="11" t="str" cm="1">
        <f t="array" ref="M265">_xlfn.IFS(B265&lt;=25, "Young Adults", B265&lt;=35, "Emerging Professionals", B265&lt;=50, "Established Adults", TRUE, "Mature Customers")</f>
        <v>Young Adults</v>
      </c>
      <c r="N265" s="11" t="str">
        <f>IF(Dataset[[#This Row],[Total_Spent (€)]]&lt;10,"Low Spender",IF(Dataset[[#This Row],[Total_Spent (€)]]&lt;25,"Medium Spender","High Spender"))</f>
        <v>Low Spender</v>
      </c>
    </row>
    <row r="266" spans="1:14" x14ac:dyDescent="0.2">
      <c r="A266" s="14" t="s">
        <v>479</v>
      </c>
      <c r="B266" s="11">
        <v>47</v>
      </c>
      <c r="C266" s="11" t="s">
        <v>13</v>
      </c>
      <c r="D266" s="11"/>
      <c r="F266" s="11" t="s">
        <v>235</v>
      </c>
      <c r="G266" s="11">
        <v>0</v>
      </c>
      <c r="H266" s="11">
        <v>3.95</v>
      </c>
      <c r="I266" s="11" t="str">
        <f>TEXT(Dataset[[#This Row],[Purchase_Date]],"[$-409]mmmm")</f>
        <v>January</v>
      </c>
      <c r="J266" s="12">
        <f>MONTH(Dataset[[#This Row],[Purchase_Date]])</f>
        <v>1</v>
      </c>
      <c r="K266" s="13" t="str">
        <f>TEXT(Dataset[[#This Row],[Purchase_Date]],"mm - [$-409]mmmm")</f>
        <v>01 - January</v>
      </c>
      <c r="L266" s="11" t="str">
        <f>IF(Dataset[[#This Row],[Purchase_Date]]="","",YEAR(Dataset[[#This Row],[Purchase_Date]]))</f>
        <v/>
      </c>
      <c r="M266" s="11" t="str" cm="1">
        <f t="array" ref="M266">_xlfn.IFS(B266&lt;=25, "Young Adults", B266&lt;=35, "Emerging Professionals", B266&lt;=50, "Established Adults", TRUE, "Mature Customers")</f>
        <v>Established Adults</v>
      </c>
      <c r="N266" s="11" t="str">
        <f>IF(Dataset[[#This Row],[Total_Spent (€)]]&lt;10,"Low Spender",IF(Dataset[[#This Row],[Total_Spent (€)]]&lt;25,"Medium Spender","High Spender"))</f>
        <v>Low Spender</v>
      </c>
    </row>
    <row r="267" spans="1:14" x14ac:dyDescent="0.2">
      <c r="A267" s="14" t="s">
        <v>478</v>
      </c>
      <c r="B267" s="11">
        <v>26</v>
      </c>
      <c r="C267" s="11" t="s">
        <v>61</v>
      </c>
      <c r="D267" s="11">
        <v>23.89</v>
      </c>
      <c r="E267" s="11" t="s">
        <v>428</v>
      </c>
      <c r="F267" s="11" t="s">
        <v>477</v>
      </c>
      <c r="G267" s="11">
        <v>1</v>
      </c>
      <c r="H267" s="11">
        <v>2.84</v>
      </c>
      <c r="I267" s="11" t="str">
        <f>TEXT(Dataset[[#This Row],[Purchase_Date]],"[$-409]mmmm")</f>
        <v>January</v>
      </c>
      <c r="J267" s="12">
        <f>MONTH(Dataset[[#This Row],[Purchase_Date]])</f>
        <v>1</v>
      </c>
      <c r="K267" s="13" t="str">
        <f>TEXT(Dataset[[#This Row],[Purchase_Date]],"mm - [$-409]mmmm")</f>
        <v>01 - January</v>
      </c>
      <c r="L267" s="11">
        <f>IF(Dataset[[#This Row],[Purchase_Date]]="","",YEAR(Dataset[[#This Row],[Purchase_Date]]))</f>
        <v>2025</v>
      </c>
      <c r="M267" s="11" t="str" cm="1">
        <f t="array" ref="M267">_xlfn.IFS(B267&lt;=25, "Young Adults", B267&lt;=35, "Emerging Professionals", B267&lt;=50, "Established Adults", TRUE, "Mature Customers")</f>
        <v>Emerging Professionals</v>
      </c>
      <c r="N267" s="11" t="str">
        <f>IF(Dataset[[#This Row],[Total_Spent (€)]]&lt;10,"Low Spender",IF(Dataset[[#This Row],[Total_Spent (€)]]&lt;25,"Medium Spender","High Spender"))</f>
        <v>Medium Spender</v>
      </c>
    </row>
    <row r="268" spans="1:14" x14ac:dyDescent="0.2">
      <c r="A268" s="14" t="s">
        <v>476</v>
      </c>
      <c r="B268" s="11">
        <v>47</v>
      </c>
      <c r="C268" s="11" t="s">
        <v>9</v>
      </c>
      <c r="D268" s="11">
        <v>29.9</v>
      </c>
      <c r="E268" s="11" t="s">
        <v>164</v>
      </c>
      <c r="F268" s="11" t="s">
        <v>328</v>
      </c>
      <c r="G268" s="11">
        <v>1</v>
      </c>
      <c r="H268" s="11">
        <v>5.32</v>
      </c>
      <c r="I268" s="11" t="str">
        <f>TEXT(Dataset[[#This Row],[Purchase_Date]],"[$-409]mmmm")</f>
        <v>November</v>
      </c>
      <c r="J268" s="12">
        <f>MONTH(Dataset[[#This Row],[Purchase_Date]])</f>
        <v>11</v>
      </c>
      <c r="K268" s="13" t="str">
        <f>TEXT(Dataset[[#This Row],[Purchase_Date]],"mm - [$-409]mmmm")</f>
        <v>11 - November</v>
      </c>
      <c r="L268" s="11">
        <f>IF(Dataset[[#This Row],[Purchase_Date]]="","",YEAR(Dataset[[#This Row],[Purchase_Date]]))</f>
        <v>2024</v>
      </c>
      <c r="M268" s="11" t="str" cm="1">
        <f t="array" ref="M268">_xlfn.IFS(B268&lt;=25, "Young Adults", B268&lt;=35, "Emerging Professionals", B268&lt;=50, "Established Adults", TRUE, "Mature Customers")</f>
        <v>Established Adults</v>
      </c>
      <c r="N268" s="11" t="str">
        <f>IF(Dataset[[#This Row],[Total_Spent (€)]]&lt;10,"Low Spender",IF(Dataset[[#This Row],[Total_Spent (€)]]&lt;25,"Medium Spender","High Spender"))</f>
        <v>High Spender</v>
      </c>
    </row>
    <row r="269" spans="1:14" x14ac:dyDescent="0.2">
      <c r="A269" s="14" t="s">
        <v>475</v>
      </c>
      <c r="B269" s="11">
        <v>43</v>
      </c>
      <c r="C269" s="11" t="s">
        <v>30</v>
      </c>
      <c r="D269" s="11"/>
      <c r="F269" s="11" t="s">
        <v>474</v>
      </c>
      <c r="G269" s="11">
        <v>0</v>
      </c>
      <c r="H269" s="11">
        <v>5.25</v>
      </c>
      <c r="I269" s="11" t="str">
        <f>TEXT(Dataset[[#This Row],[Purchase_Date]],"[$-409]mmmm")</f>
        <v>January</v>
      </c>
      <c r="J269" s="12">
        <f>MONTH(Dataset[[#This Row],[Purchase_Date]])</f>
        <v>1</v>
      </c>
      <c r="K269" s="13" t="str">
        <f>TEXT(Dataset[[#This Row],[Purchase_Date]],"mm - [$-409]mmmm")</f>
        <v>01 - January</v>
      </c>
      <c r="L269" s="11" t="str">
        <f>IF(Dataset[[#This Row],[Purchase_Date]]="","",YEAR(Dataset[[#This Row],[Purchase_Date]]))</f>
        <v/>
      </c>
      <c r="M269" s="11" t="str" cm="1">
        <f t="array" ref="M269">_xlfn.IFS(B269&lt;=25, "Young Adults", B269&lt;=35, "Emerging Professionals", B269&lt;=50, "Established Adults", TRUE, "Mature Customers")</f>
        <v>Established Adults</v>
      </c>
      <c r="N269" s="11" t="str">
        <f>IF(Dataset[[#This Row],[Total_Spent (€)]]&lt;10,"Low Spender",IF(Dataset[[#This Row],[Total_Spent (€)]]&lt;25,"Medium Spender","High Spender"))</f>
        <v>Low Spender</v>
      </c>
    </row>
    <row r="270" spans="1:14" x14ac:dyDescent="0.2">
      <c r="A270" s="14" t="s">
        <v>473</v>
      </c>
      <c r="B270" s="11">
        <v>18</v>
      </c>
      <c r="C270" s="11" t="s">
        <v>38</v>
      </c>
      <c r="D270" s="11">
        <v>13.61</v>
      </c>
      <c r="E270" s="11" t="s">
        <v>108</v>
      </c>
      <c r="F270" s="11" t="s">
        <v>472</v>
      </c>
      <c r="G270" s="11">
        <v>1</v>
      </c>
      <c r="H270" s="11">
        <v>6.66</v>
      </c>
      <c r="I270" s="11" t="str">
        <f>TEXT(Dataset[[#This Row],[Purchase_Date]],"[$-409]mmmm")</f>
        <v>May</v>
      </c>
      <c r="J270" s="12">
        <f>MONTH(Dataset[[#This Row],[Purchase_Date]])</f>
        <v>5</v>
      </c>
      <c r="K270" s="13" t="str">
        <f>TEXT(Dataset[[#This Row],[Purchase_Date]],"mm - [$-409]mmmm")</f>
        <v>05 - May</v>
      </c>
      <c r="L270" s="11">
        <f>IF(Dataset[[#This Row],[Purchase_Date]]="","",YEAR(Dataset[[#This Row],[Purchase_Date]]))</f>
        <v>2025</v>
      </c>
      <c r="M270" s="11" t="str" cm="1">
        <f t="array" ref="M270">_xlfn.IFS(B270&lt;=25, "Young Adults", B270&lt;=35, "Emerging Professionals", B270&lt;=50, "Established Adults", TRUE, "Mature Customers")</f>
        <v>Young Adults</v>
      </c>
      <c r="N270" s="11" t="str">
        <f>IF(Dataset[[#This Row],[Total_Spent (€)]]&lt;10,"Low Spender",IF(Dataset[[#This Row],[Total_Spent (€)]]&lt;25,"Medium Spender","High Spender"))</f>
        <v>Medium Spender</v>
      </c>
    </row>
    <row r="271" spans="1:14" x14ac:dyDescent="0.2">
      <c r="A271" s="14" t="s">
        <v>471</v>
      </c>
      <c r="B271" s="11">
        <v>20</v>
      </c>
      <c r="C271" s="11" t="s">
        <v>38</v>
      </c>
      <c r="D271" s="11"/>
      <c r="F271" s="11" t="s">
        <v>83</v>
      </c>
      <c r="G271" s="11">
        <v>0</v>
      </c>
      <c r="H271" s="11">
        <v>8.34</v>
      </c>
      <c r="I271" s="11" t="str">
        <f>TEXT(Dataset[[#This Row],[Purchase_Date]],"[$-409]mmmm")</f>
        <v>January</v>
      </c>
      <c r="J271" s="12">
        <f>MONTH(Dataset[[#This Row],[Purchase_Date]])</f>
        <v>1</v>
      </c>
      <c r="K271" s="13" t="str">
        <f>TEXT(Dataset[[#This Row],[Purchase_Date]],"mm - [$-409]mmmm")</f>
        <v>01 - January</v>
      </c>
      <c r="L271" s="11" t="str">
        <f>IF(Dataset[[#This Row],[Purchase_Date]]="","",YEAR(Dataset[[#This Row],[Purchase_Date]]))</f>
        <v/>
      </c>
      <c r="M271" s="11" t="str" cm="1">
        <f t="array" ref="M271">_xlfn.IFS(B271&lt;=25, "Young Adults", B271&lt;=35, "Emerging Professionals", B271&lt;=50, "Established Adults", TRUE, "Mature Customers")</f>
        <v>Young Adults</v>
      </c>
      <c r="N271" s="11" t="str">
        <f>IF(Dataset[[#This Row],[Total_Spent (€)]]&lt;10,"Low Spender",IF(Dataset[[#This Row],[Total_Spent (€)]]&lt;25,"Medium Spender","High Spender"))</f>
        <v>Low Spender</v>
      </c>
    </row>
    <row r="272" spans="1:14" x14ac:dyDescent="0.2">
      <c r="A272" s="14" t="s">
        <v>470</v>
      </c>
      <c r="B272" s="11">
        <v>45</v>
      </c>
      <c r="C272" s="11" t="s">
        <v>38</v>
      </c>
      <c r="D272" s="11"/>
      <c r="F272" s="11" t="s">
        <v>469</v>
      </c>
      <c r="G272" s="11">
        <v>0</v>
      </c>
      <c r="H272" s="11">
        <v>4.6500000000000004</v>
      </c>
      <c r="I272" s="11" t="str">
        <f>TEXT(Dataset[[#This Row],[Purchase_Date]],"[$-409]mmmm")</f>
        <v>January</v>
      </c>
      <c r="J272" s="12">
        <f>MONTH(Dataset[[#This Row],[Purchase_Date]])</f>
        <v>1</v>
      </c>
      <c r="K272" s="13" t="str">
        <f>TEXT(Dataset[[#This Row],[Purchase_Date]],"mm - [$-409]mmmm")</f>
        <v>01 - January</v>
      </c>
      <c r="L272" s="11" t="str">
        <f>IF(Dataset[[#This Row],[Purchase_Date]]="","",YEAR(Dataset[[#This Row],[Purchase_Date]]))</f>
        <v/>
      </c>
      <c r="M272" s="11" t="str" cm="1">
        <f t="array" ref="M272">_xlfn.IFS(B272&lt;=25, "Young Adults", B272&lt;=35, "Emerging Professionals", B272&lt;=50, "Established Adults", TRUE, "Mature Customers")</f>
        <v>Established Adults</v>
      </c>
      <c r="N272" s="11" t="str">
        <f>IF(Dataset[[#This Row],[Total_Spent (€)]]&lt;10,"Low Spender",IF(Dataset[[#This Row],[Total_Spent (€)]]&lt;25,"Medium Spender","High Spender"))</f>
        <v>Low Spender</v>
      </c>
    </row>
    <row r="273" spans="1:14" x14ac:dyDescent="0.2">
      <c r="A273" s="14" t="s">
        <v>468</v>
      </c>
      <c r="B273" s="11">
        <v>34</v>
      </c>
      <c r="C273" s="11" t="s">
        <v>847</v>
      </c>
      <c r="D273" s="11">
        <v>20.67</v>
      </c>
      <c r="E273" s="11" t="s">
        <v>467</v>
      </c>
      <c r="F273" s="11" t="s">
        <v>466</v>
      </c>
      <c r="G273" s="11">
        <v>1</v>
      </c>
      <c r="H273" s="11">
        <v>3.07</v>
      </c>
      <c r="I273" s="11" t="str">
        <f>TEXT(Dataset[[#This Row],[Purchase_Date]],"[$-409]mmmm")</f>
        <v>May</v>
      </c>
      <c r="J273" s="12">
        <f>MONTH(Dataset[[#This Row],[Purchase_Date]])</f>
        <v>5</v>
      </c>
      <c r="K273" s="13" t="str">
        <f>TEXT(Dataset[[#This Row],[Purchase_Date]],"mm - [$-409]mmmm")</f>
        <v>05 - May</v>
      </c>
      <c r="L273" s="11">
        <f>IF(Dataset[[#This Row],[Purchase_Date]]="","",YEAR(Dataset[[#This Row],[Purchase_Date]]))</f>
        <v>2025</v>
      </c>
      <c r="M273" s="11" t="str" cm="1">
        <f t="array" ref="M273">_xlfn.IFS(B273&lt;=25, "Young Adults", B273&lt;=35, "Emerging Professionals", B273&lt;=50, "Established Adults", TRUE, "Mature Customers")</f>
        <v>Emerging Professionals</v>
      </c>
      <c r="N273" s="11" t="str">
        <f>IF(Dataset[[#This Row],[Total_Spent (€)]]&lt;10,"Low Spender",IF(Dataset[[#This Row],[Total_Spent (€)]]&lt;25,"Medium Spender","High Spender"))</f>
        <v>Medium Spender</v>
      </c>
    </row>
    <row r="274" spans="1:14" x14ac:dyDescent="0.2">
      <c r="A274" s="14" t="s">
        <v>465</v>
      </c>
      <c r="B274" s="11">
        <v>34</v>
      </c>
      <c r="C274" s="11" t="s">
        <v>9</v>
      </c>
      <c r="D274" s="11">
        <v>13.9</v>
      </c>
      <c r="E274" s="11" t="s">
        <v>464</v>
      </c>
      <c r="F274" s="11" t="s">
        <v>326</v>
      </c>
      <c r="G274" s="11">
        <v>1</v>
      </c>
      <c r="H274" s="11">
        <v>9.16</v>
      </c>
      <c r="I274" s="11" t="str">
        <f>TEXT(Dataset[[#This Row],[Purchase_Date]],"[$-409]mmmm")</f>
        <v>August</v>
      </c>
      <c r="J274" s="12">
        <f>MONTH(Dataset[[#This Row],[Purchase_Date]])</f>
        <v>8</v>
      </c>
      <c r="K274" s="13" t="str">
        <f>TEXT(Dataset[[#This Row],[Purchase_Date]],"mm - [$-409]mmmm")</f>
        <v>08 - August</v>
      </c>
      <c r="L274" s="11">
        <f>IF(Dataset[[#This Row],[Purchase_Date]]="","",YEAR(Dataset[[#This Row],[Purchase_Date]]))</f>
        <v>2024</v>
      </c>
      <c r="M274" s="11" t="str" cm="1">
        <f t="array" ref="M274">_xlfn.IFS(B274&lt;=25, "Young Adults", B274&lt;=35, "Emerging Professionals", B274&lt;=50, "Established Adults", TRUE, "Mature Customers")</f>
        <v>Emerging Professionals</v>
      </c>
      <c r="N274" s="11" t="str">
        <f>IF(Dataset[[#This Row],[Total_Spent (€)]]&lt;10,"Low Spender",IF(Dataset[[#This Row],[Total_Spent (€)]]&lt;25,"Medium Spender","High Spender"))</f>
        <v>Medium Spender</v>
      </c>
    </row>
    <row r="275" spans="1:14" x14ac:dyDescent="0.2">
      <c r="A275" s="14" t="s">
        <v>463</v>
      </c>
      <c r="B275" s="11">
        <v>23</v>
      </c>
      <c r="C275" s="11" t="s">
        <v>842</v>
      </c>
      <c r="D275" s="11">
        <v>12.58</v>
      </c>
      <c r="E275" s="11" t="s">
        <v>462</v>
      </c>
      <c r="F275" s="11" t="s">
        <v>52</v>
      </c>
      <c r="G275" s="11">
        <v>1</v>
      </c>
      <c r="H275" s="11">
        <v>7.72</v>
      </c>
      <c r="I275" s="11" t="str">
        <f>TEXT(Dataset[[#This Row],[Purchase_Date]],"[$-409]mmmm")</f>
        <v>February</v>
      </c>
      <c r="J275" s="12">
        <f>MONTH(Dataset[[#This Row],[Purchase_Date]])</f>
        <v>2</v>
      </c>
      <c r="K275" s="13" t="str">
        <f>TEXT(Dataset[[#This Row],[Purchase_Date]],"mm - [$-409]mmmm")</f>
        <v>02 - February</v>
      </c>
      <c r="L275" s="11">
        <f>IF(Dataset[[#This Row],[Purchase_Date]]="","",YEAR(Dataset[[#This Row],[Purchase_Date]]))</f>
        <v>2025</v>
      </c>
      <c r="M275" s="11" t="str" cm="1">
        <f t="array" ref="M275">_xlfn.IFS(B275&lt;=25, "Young Adults", B275&lt;=35, "Emerging Professionals", B275&lt;=50, "Established Adults", TRUE, "Mature Customers")</f>
        <v>Young Adults</v>
      </c>
      <c r="N275" s="11" t="str">
        <f>IF(Dataset[[#This Row],[Total_Spent (€)]]&lt;10,"Low Spender",IF(Dataset[[#This Row],[Total_Spent (€)]]&lt;25,"Medium Spender","High Spender"))</f>
        <v>Medium Spender</v>
      </c>
    </row>
    <row r="276" spans="1:14" x14ac:dyDescent="0.2">
      <c r="A276" s="14" t="s">
        <v>461</v>
      </c>
      <c r="B276" s="11">
        <v>19</v>
      </c>
      <c r="C276" s="11" t="s">
        <v>846</v>
      </c>
      <c r="D276" s="11">
        <v>24.71</v>
      </c>
      <c r="E276" s="11" t="s">
        <v>248</v>
      </c>
      <c r="F276" s="11" t="s">
        <v>460</v>
      </c>
      <c r="G276" s="11">
        <v>1</v>
      </c>
      <c r="H276" s="11">
        <v>4.21</v>
      </c>
      <c r="I276" s="11" t="str">
        <f>TEXT(Dataset[[#This Row],[Purchase_Date]],"[$-409]mmmm")</f>
        <v>August</v>
      </c>
      <c r="J276" s="12">
        <f>MONTH(Dataset[[#This Row],[Purchase_Date]])</f>
        <v>8</v>
      </c>
      <c r="K276" s="13" t="str">
        <f>TEXT(Dataset[[#This Row],[Purchase_Date]],"mm - [$-409]mmmm")</f>
        <v>08 - August</v>
      </c>
      <c r="L276" s="11">
        <f>IF(Dataset[[#This Row],[Purchase_Date]]="","",YEAR(Dataset[[#This Row],[Purchase_Date]]))</f>
        <v>2024</v>
      </c>
      <c r="M276" s="11" t="str" cm="1">
        <f t="array" ref="M276">_xlfn.IFS(B276&lt;=25, "Young Adults", B276&lt;=35, "Emerging Professionals", B276&lt;=50, "Established Adults", TRUE, "Mature Customers")</f>
        <v>Young Adults</v>
      </c>
      <c r="N276" s="11" t="str">
        <f>IF(Dataset[[#This Row],[Total_Spent (€)]]&lt;10,"Low Spender",IF(Dataset[[#This Row],[Total_Spent (€)]]&lt;25,"Medium Spender","High Spender"))</f>
        <v>Medium Spender</v>
      </c>
    </row>
    <row r="277" spans="1:14" x14ac:dyDescent="0.2">
      <c r="A277" s="14" t="s">
        <v>459</v>
      </c>
      <c r="B277" s="11">
        <v>39</v>
      </c>
      <c r="C277" s="11" t="s">
        <v>9</v>
      </c>
      <c r="D277" s="11"/>
      <c r="F277" s="11" t="s">
        <v>379</v>
      </c>
      <c r="G277" s="11">
        <v>0</v>
      </c>
      <c r="H277" s="11">
        <v>8.08</v>
      </c>
      <c r="I277" s="11" t="str">
        <f>TEXT(Dataset[[#This Row],[Purchase_Date]],"[$-409]mmmm")</f>
        <v>January</v>
      </c>
      <c r="J277" s="12">
        <f>MONTH(Dataset[[#This Row],[Purchase_Date]])</f>
        <v>1</v>
      </c>
      <c r="K277" s="13" t="str">
        <f>TEXT(Dataset[[#This Row],[Purchase_Date]],"mm - [$-409]mmmm")</f>
        <v>01 - January</v>
      </c>
      <c r="L277" s="11" t="str">
        <f>IF(Dataset[[#This Row],[Purchase_Date]]="","",YEAR(Dataset[[#This Row],[Purchase_Date]]))</f>
        <v/>
      </c>
      <c r="M277" s="11" t="str" cm="1">
        <f t="array" ref="M277">_xlfn.IFS(B277&lt;=25, "Young Adults", B277&lt;=35, "Emerging Professionals", B277&lt;=50, "Established Adults", TRUE, "Mature Customers")</f>
        <v>Established Adults</v>
      </c>
      <c r="N277" s="11" t="str">
        <f>IF(Dataset[[#This Row],[Total_Spent (€)]]&lt;10,"Low Spender",IF(Dataset[[#This Row],[Total_Spent (€)]]&lt;25,"Medium Spender","High Spender"))</f>
        <v>Low Spender</v>
      </c>
    </row>
    <row r="278" spans="1:14" x14ac:dyDescent="0.2">
      <c r="A278" s="14" t="s">
        <v>458</v>
      </c>
      <c r="B278" s="11">
        <v>46</v>
      </c>
      <c r="C278" s="11" t="s">
        <v>845</v>
      </c>
      <c r="D278" s="11"/>
      <c r="F278" s="11" t="s">
        <v>457</v>
      </c>
      <c r="G278" s="11">
        <v>0</v>
      </c>
      <c r="H278" s="11">
        <v>5.12</v>
      </c>
      <c r="I278" s="11" t="str">
        <f>TEXT(Dataset[[#This Row],[Purchase_Date]],"[$-409]mmmm")</f>
        <v>January</v>
      </c>
      <c r="J278" s="12">
        <f>MONTH(Dataset[[#This Row],[Purchase_Date]])</f>
        <v>1</v>
      </c>
      <c r="K278" s="13" t="str">
        <f>TEXT(Dataset[[#This Row],[Purchase_Date]],"mm - [$-409]mmmm")</f>
        <v>01 - January</v>
      </c>
      <c r="L278" s="11" t="str">
        <f>IF(Dataset[[#This Row],[Purchase_Date]]="","",YEAR(Dataset[[#This Row],[Purchase_Date]]))</f>
        <v/>
      </c>
      <c r="M278" s="11" t="str" cm="1">
        <f t="array" ref="M278">_xlfn.IFS(B278&lt;=25, "Young Adults", B278&lt;=35, "Emerging Professionals", B278&lt;=50, "Established Adults", TRUE, "Mature Customers")</f>
        <v>Established Adults</v>
      </c>
      <c r="N278" s="11" t="str">
        <f>IF(Dataset[[#This Row],[Total_Spent (€)]]&lt;10,"Low Spender",IF(Dataset[[#This Row],[Total_Spent (€)]]&lt;25,"Medium Spender","High Spender"))</f>
        <v>Low Spender</v>
      </c>
    </row>
    <row r="279" spans="1:14" x14ac:dyDescent="0.2">
      <c r="A279" s="14" t="s">
        <v>456</v>
      </c>
      <c r="B279" s="11">
        <v>45</v>
      </c>
      <c r="C279" s="11" t="s">
        <v>845</v>
      </c>
      <c r="D279" s="11"/>
      <c r="F279" s="11" t="s">
        <v>26</v>
      </c>
      <c r="G279" s="11">
        <v>0</v>
      </c>
      <c r="H279" s="11">
        <v>8.01</v>
      </c>
      <c r="I279" s="11" t="str">
        <f>TEXT(Dataset[[#This Row],[Purchase_Date]],"[$-409]mmmm")</f>
        <v>January</v>
      </c>
      <c r="J279" s="12">
        <f>MONTH(Dataset[[#This Row],[Purchase_Date]])</f>
        <v>1</v>
      </c>
      <c r="K279" s="13" t="str">
        <f>TEXT(Dataset[[#This Row],[Purchase_Date]],"mm - [$-409]mmmm")</f>
        <v>01 - January</v>
      </c>
      <c r="L279" s="11" t="str">
        <f>IF(Dataset[[#This Row],[Purchase_Date]]="","",YEAR(Dataset[[#This Row],[Purchase_Date]]))</f>
        <v/>
      </c>
      <c r="M279" s="11" t="str" cm="1">
        <f t="array" ref="M279">_xlfn.IFS(B279&lt;=25, "Young Adults", B279&lt;=35, "Emerging Professionals", B279&lt;=50, "Established Adults", TRUE, "Mature Customers")</f>
        <v>Established Adults</v>
      </c>
      <c r="N279" s="11" t="str">
        <f>IF(Dataset[[#This Row],[Total_Spent (€)]]&lt;10,"Low Spender",IF(Dataset[[#This Row],[Total_Spent (€)]]&lt;25,"Medium Spender","High Spender"))</f>
        <v>Low Spender</v>
      </c>
    </row>
    <row r="280" spans="1:14" x14ac:dyDescent="0.2">
      <c r="A280" s="14" t="s">
        <v>455</v>
      </c>
      <c r="B280" s="11">
        <v>36</v>
      </c>
      <c r="C280" s="11" t="s">
        <v>86</v>
      </c>
      <c r="D280" s="11"/>
      <c r="F280" s="11" t="s">
        <v>454</v>
      </c>
      <c r="G280" s="11">
        <v>0</v>
      </c>
      <c r="H280" s="11">
        <v>8.99</v>
      </c>
      <c r="I280" s="11" t="str">
        <f>TEXT(Dataset[[#This Row],[Purchase_Date]],"[$-409]mmmm")</f>
        <v>January</v>
      </c>
      <c r="J280" s="12">
        <f>MONTH(Dataset[[#This Row],[Purchase_Date]])</f>
        <v>1</v>
      </c>
      <c r="K280" s="13" t="str">
        <f>TEXT(Dataset[[#This Row],[Purchase_Date]],"mm - [$-409]mmmm")</f>
        <v>01 - January</v>
      </c>
      <c r="L280" s="11" t="str">
        <f>IF(Dataset[[#This Row],[Purchase_Date]]="","",YEAR(Dataset[[#This Row],[Purchase_Date]]))</f>
        <v/>
      </c>
      <c r="M280" s="11" t="str" cm="1">
        <f t="array" ref="M280">_xlfn.IFS(B280&lt;=25, "Young Adults", B280&lt;=35, "Emerging Professionals", B280&lt;=50, "Established Adults", TRUE, "Mature Customers")</f>
        <v>Established Adults</v>
      </c>
      <c r="N280" s="11" t="str">
        <f>IF(Dataset[[#This Row],[Total_Spent (€)]]&lt;10,"Low Spender",IF(Dataset[[#This Row],[Total_Spent (€)]]&lt;25,"Medium Spender","High Spender"))</f>
        <v>Low Spender</v>
      </c>
    </row>
    <row r="281" spans="1:14" x14ac:dyDescent="0.2">
      <c r="A281" s="14" t="s">
        <v>453</v>
      </c>
      <c r="B281" s="11">
        <v>35</v>
      </c>
      <c r="C281" s="11" t="s">
        <v>86</v>
      </c>
      <c r="D281" s="11">
        <v>21.18</v>
      </c>
      <c r="E281" s="11" t="s">
        <v>131</v>
      </c>
      <c r="F281" s="11" t="s">
        <v>452</v>
      </c>
      <c r="G281" s="11">
        <v>1</v>
      </c>
      <c r="H281" s="11">
        <v>9.06</v>
      </c>
      <c r="I281" s="11" t="str">
        <f>TEXT(Dataset[[#This Row],[Purchase_Date]],"[$-409]mmmm")</f>
        <v>March</v>
      </c>
      <c r="J281" s="12">
        <f>MONTH(Dataset[[#This Row],[Purchase_Date]])</f>
        <v>3</v>
      </c>
      <c r="K281" s="13" t="str">
        <f>TEXT(Dataset[[#This Row],[Purchase_Date]],"mm - [$-409]mmmm")</f>
        <v>03 - March</v>
      </c>
      <c r="L281" s="11">
        <f>IF(Dataset[[#This Row],[Purchase_Date]]="","",YEAR(Dataset[[#This Row],[Purchase_Date]]))</f>
        <v>2025</v>
      </c>
      <c r="M281" s="11" t="str" cm="1">
        <f t="array" ref="M281">_xlfn.IFS(B281&lt;=25, "Young Adults", B281&lt;=35, "Emerging Professionals", B281&lt;=50, "Established Adults", TRUE, "Mature Customers")</f>
        <v>Emerging Professionals</v>
      </c>
      <c r="N281" s="11" t="str">
        <f>IF(Dataset[[#This Row],[Total_Spent (€)]]&lt;10,"Low Spender",IF(Dataset[[#This Row],[Total_Spent (€)]]&lt;25,"Medium Spender","High Spender"))</f>
        <v>Medium Spender</v>
      </c>
    </row>
    <row r="282" spans="1:14" x14ac:dyDescent="0.2">
      <c r="A282" s="14" t="s">
        <v>451</v>
      </c>
      <c r="B282" s="11">
        <v>47</v>
      </c>
      <c r="C282" s="11" t="s">
        <v>86</v>
      </c>
      <c r="D282" s="11"/>
      <c r="F282" s="11" t="s">
        <v>176</v>
      </c>
      <c r="G282" s="11">
        <v>0</v>
      </c>
      <c r="H282" s="11">
        <v>2.88</v>
      </c>
      <c r="I282" s="11" t="str">
        <f>TEXT(Dataset[[#This Row],[Purchase_Date]],"[$-409]mmmm")</f>
        <v>January</v>
      </c>
      <c r="J282" s="12">
        <f>MONTH(Dataset[[#This Row],[Purchase_Date]])</f>
        <v>1</v>
      </c>
      <c r="K282" s="13" t="str">
        <f>TEXT(Dataset[[#This Row],[Purchase_Date]],"mm - [$-409]mmmm")</f>
        <v>01 - January</v>
      </c>
      <c r="L282" s="11" t="str">
        <f>IF(Dataset[[#This Row],[Purchase_Date]]="","",YEAR(Dataset[[#This Row],[Purchase_Date]]))</f>
        <v/>
      </c>
      <c r="M282" s="11" t="str" cm="1">
        <f t="array" ref="M282">_xlfn.IFS(B282&lt;=25, "Young Adults", B282&lt;=35, "Emerging Professionals", B282&lt;=50, "Established Adults", TRUE, "Mature Customers")</f>
        <v>Established Adults</v>
      </c>
      <c r="N282" s="11" t="str">
        <f>IF(Dataset[[#This Row],[Total_Spent (€)]]&lt;10,"Low Spender",IF(Dataset[[#This Row],[Total_Spent (€)]]&lt;25,"Medium Spender","High Spender"))</f>
        <v>Low Spender</v>
      </c>
    </row>
    <row r="283" spans="1:14" x14ac:dyDescent="0.2">
      <c r="A283" s="14" t="s">
        <v>450</v>
      </c>
      <c r="B283" s="11">
        <v>33</v>
      </c>
      <c r="C283" s="11" t="s">
        <v>5</v>
      </c>
      <c r="D283" s="11"/>
      <c r="F283" s="11" t="s">
        <v>336</v>
      </c>
      <c r="G283" s="11">
        <v>0</v>
      </c>
      <c r="H283" s="11">
        <v>3.29</v>
      </c>
      <c r="I283" s="11" t="str">
        <f>TEXT(Dataset[[#This Row],[Purchase_Date]],"[$-409]mmmm")</f>
        <v>January</v>
      </c>
      <c r="J283" s="12">
        <f>MONTH(Dataset[[#This Row],[Purchase_Date]])</f>
        <v>1</v>
      </c>
      <c r="K283" s="13" t="str">
        <f>TEXT(Dataset[[#This Row],[Purchase_Date]],"mm - [$-409]mmmm")</f>
        <v>01 - January</v>
      </c>
      <c r="L283" s="11" t="str">
        <f>IF(Dataset[[#This Row],[Purchase_Date]]="","",YEAR(Dataset[[#This Row],[Purchase_Date]]))</f>
        <v/>
      </c>
      <c r="M283" s="11" t="str" cm="1">
        <f t="array" ref="M283">_xlfn.IFS(B283&lt;=25, "Young Adults", B283&lt;=35, "Emerging Professionals", B283&lt;=50, "Established Adults", TRUE, "Mature Customers")</f>
        <v>Emerging Professionals</v>
      </c>
      <c r="N283" s="11" t="str">
        <f>IF(Dataset[[#This Row],[Total_Spent (€)]]&lt;10,"Low Spender",IF(Dataset[[#This Row],[Total_Spent (€)]]&lt;25,"Medium Spender","High Spender"))</f>
        <v>Low Spender</v>
      </c>
    </row>
    <row r="284" spans="1:14" x14ac:dyDescent="0.2">
      <c r="A284" s="14" t="s">
        <v>449</v>
      </c>
      <c r="B284" s="11">
        <v>26</v>
      </c>
      <c r="C284" s="11" t="s">
        <v>30</v>
      </c>
      <c r="D284" s="11"/>
      <c r="F284" s="11" t="s">
        <v>55</v>
      </c>
      <c r="G284" s="11">
        <v>0</v>
      </c>
      <c r="H284" s="11">
        <v>7.41</v>
      </c>
      <c r="I284" s="11" t="str">
        <f>TEXT(Dataset[[#This Row],[Purchase_Date]],"[$-409]mmmm")</f>
        <v>January</v>
      </c>
      <c r="J284" s="12">
        <f>MONTH(Dataset[[#This Row],[Purchase_Date]])</f>
        <v>1</v>
      </c>
      <c r="K284" s="13" t="str">
        <f>TEXT(Dataset[[#This Row],[Purchase_Date]],"mm - [$-409]mmmm")</f>
        <v>01 - January</v>
      </c>
      <c r="L284" s="11" t="str">
        <f>IF(Dataset[[#This Row],[Purchase_Date]]="","",YEAR(Dataset[[#This Row],[Purchase_Date]]))</f>
        <v/>
      </c>
      <c r="M284" s="11" t="str" cm="1">
        <f t="array" ref="M284">_xlfn.IFS(B284&lt;=25, "Young Adults", B284&lt;=35, "Emerging Professionals", B284&lt;=50, "Established Adults", TRUE, "Mature Customers")</f>
        <v>Emerging Professionals</v>
      </c>
      <c r="N284" s="11" t="str">
        <f>IF(Dataset[[#This Row],[Total_Spent (€)]]&lt;10,"Low Spender",IF(Dataset[[#This Row],[Total_Spent (€)]]&lt;25,"Medium Spender","High Spender"))</f>
        <v>Low Spender</v>
      </c>
    </row>
    <row r="285" spans="1:14" x14ac:dyDescent="0.2">
      <c r="A285" s="14" t="s">
        <v>448</v>
      </c>
      <c r="B285" s="11">
        <v>29</v>
      </c>
      <c r="C285" s="11" t="s">
        <v>844</v>
      </c>
      <c r="D285" s="11">
        <v>12.31</v>
      </c>
      <c r="E285" s="11" t="s">
        <v>80</v>
      </c>
      <c r="F285" s="11" t="s">
        <v>165</v>
      </c>
      <c r="G285" s="11">
        <v>1</v>
      </c>
      <c r="H285" s="11">
        <v>2.06</v>
      </c>
      <c r="I285" s="11" t="str">
        <f>TEXT(Dataset[[#This Row],[Purchase_Date]],"[$-409]mmmm")</f>
        <v>December</v>
      </c>
      <c r="J285" s="12">
        <f>MONTH(Dataset[[#This Row],[Purchase_Date]])</f>
        <v>12</v>
      </c>
      <c r="K285" s="13" t="str">
        <f>TEXT(Dataset[[#This Row],[Purchase_Date]],"mm - [$-409]mmmm")</f>
        <v>12 - December</v>
      </c>
      <c r="L285" s="11">
        <f>IF(Dataset[[#This Row],[Purchase_Date]]="","",YEAR(Dataset[[#This Row],[Purchase_Date]]))</f>
        <v>2024</v>
      </c>
      <c r="M285" s="11" t="str" cm="1">
        <f t="array" ref="M285">_xlfn.IFS(B285&lt;=25, "Young Adults", B285&lt;=35, "Emerging Professionals", B285&lt;=50, "Established Adults", TRUE, "Mature Customers")</f>
        <v>Emerging Professionals</v>
      </c>
      <c r="N285" s="11" t="str">
        <f>IF(Dataset[[#This Row],[Total_Spent (€)]]&lt;10,"Low Spender",IF(Dataset[[#This Row],[Total_Spent (€)]]&lt;25,"Medium Spender","High Spender"))</f>
        <v>Medium Spender</v>
      </c>
    </row>
    <row r="286" spans="1:14" x14ac:dyDescent="0.2">
      <c r="A286" s="14" t="s">
        <v>447</v>
      </c>
      <c r="B286" s="11">
        <v>54</v>
      </c>
      <c r="C286" s="11" t="s">
        <v>842</v>
      </c>
      <c r="D286" s="11">
        <v>20.29</v>
      </c>
      <c r="E286" s="11" t="s">
        <v>105</v>
      </c>
      <c r="F286" s="11" t="s">
        <v>446</v>
      </c>
      <c r="G286" s="11">
        <v>1</v>
      </c>
      <c r="H286" s="11">
        <v>7.14</v>
      </c>
      <c r="I286" s="11" t="str">
        <f>TEXT(Dataset[[#This Row],[Purchase_Date]],"[$-409]mmmm")</f>
        <v>March</v>
      </c>
      <c r="J286" s="12">
        <f>MONTH(Dataset[[#This Row],[Purchase_Date]])</f>
        <v>3</v>
      </c>
      <c r="K286" s="13" t="str">
        <f>TEXT(Dataset[[#This Row],[Purchase_Date]],"mm - [$-409]mmmm")</f>
        <v>03 - March</v>
      </c>
      <c r="L286" s="11">
        <f>IF(Dataset[[#This Row],[Purchase_Date]]="","",YEAR(Dataset[[#This Row],[Purchase_Date]]))</f>
        <v>2025</v>
      </c>
      <c r="M286" s="11" t="str" cm="1">
        <f t="array" ref="M286">_xlfn.IFS(B286&lt;=25, "Young Adults", B286&lt;=35, "Emerging Professionals", B286&lt;=50, "Established Adults", TRUE, "Mature Customers")</f>
        <v>Mature Customers</v>
      </c>
      <c r="N286" s="11" t="str">
        <f>IF(Dataset[[#This Row],[Total_Spent (€)]]&lt;10,"Low Spender",IF(Dataset[[#This Row],[Total_Spent (€)]]&lt;25,"Medium Spender","High Spender"))</f>
        <v>Medium Spender</v>
      </c>
    </row>
    <row r="287" spans="1:14" x14ac:dyDescent="0.2">
      <c r="A287" s="14" t="s">
        <v>445</v>
      </c>
      <c r="B287" s="11">
        <v>42</v>
      </c>
      <c r="C287" s="11" t="s">
        <v>841</v>
      </c>
      <c r="D287" s="11">
        <v>26.29</v>
      </c>
      <c r="E287" s="11" t="s">
        <v>117</v>
      </c>
      <c r="F287" s="11" t="s">
        <v>444</v>
      </c>
      <c r="G287" s="11">
        <v>1</v>
      </c>
      <c r="H287" s="11">
        <v>8.69</v>
      </c>
      <c r="I287" s="11" t="str">
        <f>TEXT(Dataset[[#This Row],[Purchase_Date]],"[$-409]mmmm")</f>
        <v>October</v>
      </c>
      <c r="J287" s="12">
        <f>MONTH(Dataset[[#This Row],[Purchase_Date]])</f>
        <v>10</v>
      </c>
      <c r="K287" s="13" t="str">
        <f>TEXT(Dataset[[#This Row],[Purchase_Date]],"mm - [$-409]mmmm")</f>
        <v>10 - October</v>
      </c>
      <c r="L287" s="11">
        <f>IF(Dataset[[#This Row],[Purchase_Date]]="","",YEAR(Dataset[[#This Row],[Purchase_Date]]))</f>
        <v>2024</v>
      </c>
      <c r="M287" s="11" t="str" cm="1">
        <f t="array" ref="M287">_xlfn.IFS(B287&lt;=25, "Young Adults", B287&lt;=35, "Emerging Professionals", B287&lt;=50, "Established Adults", TRUE, "Mature Customers")</f>
        <v>Established Adults</v>
      </c>
      <c r="N287" s="11" t="str">
        <f>IF(Dataset[[#This Row],[Total_Spent (€)]]&lt;10,"Low Spender",IF(Dataset[[#This Row],[Total_Spent (€)]]&lt;25,"Medium Spender","High Spender"))</f>
        <v>High Spender</v>
      </c>
    </row>
    <row r="288" spans="1:14" x14ac:dyDescent="0.2">
      <c r="A288" s="14" t="s">
        <v>443</v>
      </c>
      <c r="B288" s="11">
        <v>22</v>
      </c>
      <c r="C288" s="11" t="s">
        <v>845</v>
      </c>
      <c r="D288" s="11">
        <v>18.71</v>
      </c>
      <c r="E288" s="11" t="s">
        <v>369</v>
      </c>
      <c r="F288" s="11" t="s">
        <v>369</v>
      </c>
      <c r="G288" s="11">
        <v>1</v>
      </c>
      <c r="H288" s="11">
        <v>5.98</v>
      </c>
      <c r="I288" s="11" t="str">
        <f>TEXT(Dataset[[#This Row],[Purchase_Date]],"[$-409]mmmm")</f>
        <v>April</v>
      </c>
      <c r="J288" s="12">
        <f>MONTH(Dataset[[#This Row],[Purchase_Date]])</f>
        <v>4</v>
      </c>
      <c r="K288" s="13" t="str">
        <f>TEXT(Dataset[[#This Row],[Purchase_Date]],"mm - [$-409]mmmm")</f>
        <v>04 - April</v>
      </c>
      <c r="L288" s="11">
        <f>IF(Dataset[[#This Row],[Purchase_Date]]="","",YEAR(Dataset[[#This Row],[Purchase_Date]]))</f>
        <v>2025</v>
      </c>
      <c r="M288" s="11" t="str" cm="1">
        <f t="array" ref="M288">_xlfn.IFS(B288&lt;=25, "Young Adults", B288&lt;=35, "Emerging Professionals", B288&lt;=50, "Established Adults", TRUE, "Mature Customers")</f>
        <v>Young Adults</v>
      </c>
      <c r="N288" s="11" t="str">
        <f>IF(Dataset[[#This Row],[Total_Spent (€)]]&lt;10,"Low Spender",IF(Dataset[[#This Row],[Total_Spent (€)]]&lt;25,"Medium Spender","High Spender"))</f>
        <v>Medium Spender</v>
      </c>
    </row>
    <row r="289" spans="1:14" x14ac:dyDescent="0.2">
      <c r="A289" s="14" t="s">
        <v>442</v>
      </c>
      <c r="B289" s="11">
        <v>26</v>
      </c>
      <c r="C289" s="11" t="s">
        <v>20</v>
      </c>
      <c r="D289" s="11"/>
      <c r="F289" s="11" t="s">
        <v>58</v>
      </c>
      <c r="G289" s="11">
        <v>0</v>
      </c>
      <c r="H289" s="11">
        <v>9.67</v>
      </c>
      <c r="I289" s="11" t="str">
        <f>TEXT(Dataset[[#This Row],[Purchase_Date]],"[$-409]mmmm")</f>
        <v>January</v>
      </c>
      <c r="J289" s="12">
        <f>MONTH(Dataset[[#This Row],[Purchase_Date]])</f>
        <v>1</v>
      </c>
      <c r="K289" s="13" t="str">
        <f>TEXT(Dataset[[#This Row],[Purchase_Date]],"mm - [$-409]mmmm")</f>
        <v>01 - January</v>
      </c>
      <c r="L289" s="11" t="str">
        <f>IF(Dataset[[#This Row],[Purchase_Date]]="","",YEAR(Dataset[[#This Row],[Purchase_Date]]))</f>
        <v/>
      </c>
      <c r="M289" s="11" t="str" cm="1">
        <f t="array" ref="M289">_xlfn.IFS(B289&lt;=25, "Young Adults", B289&lt;=35, "Emerging Professionals", B289&lt;=50, "Established Adults", TRUE, "Mature Customers")</f>
        <v>Emerging Professionals</v>
      </c>
      <c r="N289" s="11" t="str">
        <f>IF(Dataset[[#This Row],[Total_Spent (€)]]&lt;10,"Low Spender",IF(Dataset[[#This Row],[Total_Spent (€)]]&lt;25,"Medium Spender","High Spender"))</f>
        <v>Low Spender</v>
      </c>
    </row>
    <row r="290" spans="1:14" x14ac:dyDescent="0.2">
      <c r="A290" s="14" t="s">
        <v>441</v>
      </c>
      <c r="B290" s="11">
        <v>27</v>
      </c>
      <c r="C290" s="11" t="s">
        <v>840</v>
      </c>
      <c r="D290" s="11">
        <v>15.24</v>
      </c>
      <c r="E290" s="11" t="s">
        <v>440</v>
      </c>
      <c r="F290" s="11" t="s">
        <v>139</v>
      </c>
      <c r="G290" s="11">
        <v>1</v>
      </c>
      <c r="H290" s="11">
        <v>8.41</v>
      </c>
      <c r="I290" s="11" t="str">
        <f>TEXT(Dataset[[#This Row],[Purchase_Date]],"[$-409]mmmm")</f>
        <v>November</v>
      </c>
      <c r="J290" s="12">
        <f>MONTH(Dataset[[#This Row],[Purchase_Date]])</f>
        <v>11</v>
      </c>
      <c r="K290" s="13" t="str">
        <f>TEXT(Dataset[[#This Row],[Purchase_Date]],"mm - [$-409]mmmm")</f>
        <v>11 - November</v>
      </c>
      <c r="L290" s="11">
        <f>IF(Dataset[[#This Row],[Purchase_Date]]="","",YEAR(Dataset[[#This Row],[Purchase_Date]]))</f>
        <v>2024</v>
      </c>
      <c r="M290" s="11" t="str" cm="1">
        <f t="array" ref="M290">_xlfn.IFS(B290&lt;=25, "Young Adults", B290&lt;=35, "Emerging Professionals", B290&lt;=50, "Established Adults", TRUE, "Mature Customers")</f>
        <v>Emerging Professionals</v>
      </c>
      <c r="N290" s="11" t="str">
        <f>IF(Dataset[[#This Row],[Total_Spent (€)]]&lt;10,"Low Spender",IF(Dataset[[#This Row],[Total_Spent (€)]]&lt;25,"Medium Spender","High Spender"))</f>
        <v>Medium Spender</v>
      </c>
    </row>
    <row r="291" spans="1:14" x14ac:dyDescent="0.2">
      <c r="A291" s="14" t="s">
        <v>439</v>
      </c>
      <c r="B291" s="11">
        <v>30</v>
      </c>
      <c r="C291" s="11" t="s">
        <v>845</v>
      </c>
      <c r="D291" s="11">
        <v>12.17</v>
      </c>
      <c r="E291" s="11" t="s">
        <v>438</v>
      </c>
      <c r="F291" s="11" t="s">
        <v>437</v>
      </c>
      <c r="G291" s="11">
        <v>1</v>
      </c>
      <c r="H291" s="11">
        <v>9.16</v>
      </c>
      <c r="I291" s="11" t="str">
        <f>TEXT(Dataset[[#This Row],[Purchase_Date]],"[$-409]mmmm")</f>
        <v>September</v>
      </c>
      <c r="J291" s="12">
        <f>MONTH(Dataset[[#This Row],[Purchase_Date]])</f>
        <v>9</v>
      </c>
      <c r="K291" s="13" t="str">
        <f>TEXT(Dataset[[#This Row],[Purchase_Date]],"mm - [$-409]mmmm")</f>
        <v>09 - September</v>
      </c>
      <c r="L291" s="11">
        <f>IF(Dataset[[#This Row],[Purchase_Date]]="","",YEAR(Dataset[[#This Row],[Purchase_Date]]))</f>
        <v>2024</v>
      </c>
      <c r="M291" s="11" t="str" cm="1">
        <f t="array" ref="M291">_xlfn.IFS(B291&lt;=25, "Young Adults", B291&lt;=35, "Emerging Professionals", B291&lt;=50, "Established Adults", TRUE, "Mature Customers")</f>
        <v>Emerging Professionals</v>
      </c>
      <c r="N291" s="11" t="str">
        <f>IF(Dataset[[#This Row],[Total_Spent (€)]]&lt;10,"Low Spender",IF(Dataset[[#This Row],[Total_Spent (€)]]&lt;25,"Medium Spender","High Spender"))</f>
        <v>Medium Spender</v>
      </c>
    </row>
    <row r="292" spans="1:14" x14ac:dyDescent="0.2">
      <c r="A292" s="14" t="s">
        <v>436</v>
      </c>
      <c r="B292" s="11">
        <v>28</v>
      </c>
      <c r="C292" s="11" t="s">
        <v>38</v>
      </c>
      <c r="D292" s="11">
        <v>17.03</v>
      </c>
      <c r="E292" s="11" t="s">
        <v>57</v>
      </c>
      <c r="F292" s="11" t="s">
        <v>435</v>
      </c>
      <c r="G292" s="11">
        <v>1</v>
      </c>
      <c r="H292" s="11">
        <v>8.99</v>
      </c>
      <c r="I292" s="11" t="str">
        <f>TEXT(Dataset[[#This Row],[Purchase_Date]],"[$-409]mmmm")</f>
        <v>February</v>
      </c>
      <c r="J292" s="12">
        <f>MONTH(Dataset[[#This Row],[Purchase_Date]])</f>
        <v>2</v>
      </c>
      <c r="K292" s="13" t="str">
        <f>TEXT(Dataset[[#This Row],[Purchase_Date]],"mm - [$-409]mmmm")</f>
        <v>02 - February</v>
      </c>
      <c r="L292" s="11">
        <f>IF(Dataset[[#This Row],[Purchase_Date]]="","",YEAR(Dataset[[#This Row],[Purchase_Date]]))</f>
        <v>2025</v>
      </c>
      <c r="M292" s="11" t="str" cm="1">
        <f t="array" ref="M292">_xlfn.IFS(B292&lt;=25, "Young Adults", B292&lt;=35, "Emerging Professionals", B292&lt;=50, "Established Adults", TRUE, "Mature Customers")</f>
        <v>Emerging Professionals</v>
      </c>
      <c r="N292" s="11" t="str">
        <f>IF(Dataset[[#This Row],[Total_Spent (€)]]&lt;10,"Low Spender",IF(Dataset[[#This Row],[Total_Spent (€)]]&lt;25,"Medium Spender","High Spender"))</f>
        <v>Medium Spender</v>
      </c>
    </row>
    <row r="293" spans="1:14" x14ac:dyDescent="0.2">
      <c r="A293" s="14" t="s">
        <v>434</v>
      </c>
      <c r="B293" s="11">
        <v>48</v>
      </c>
      <c r="C293" s="11" t="s">
        <v>86</v>
      </c>
      <c r="D293" s="11"/>
      <c r="F293" s="11" t="s">
        <v>135</v>
      </c>
      <c r="G293" s="11">
        <v>0</v>
      </c>
      <c r="H293" s="11">
        <v>9.1199999999999992</v>
      </c>
      <c r="I293" s="11" t="str">
        <f>TEXT(Dataset[[#This Row],[Purchase_Date]],"[$-409]mmmm")</f>
        <v>January</v>
      </c>
      <c r="J293" s="12">
        <f>MONTH(Dataset[[#This Row],[Purchase_Date]])</f>
        <v>1</v>
      </c>
      <c r="K293" s="13" t="str">
        <f>TEXT(Dataset[[#This Row],[Purchase_Date]],"mm - [$-409]mmmm")</f>
        <v>01 - January</v>
      </c>
      <c r="L293" s="11" t="str">
        <f>IF(Dataset[[#This Row],[Purchase_Date]]="","",YEAR(Dataset[[#This Row],[Purchase_Date]]))</f>
        <v/>
      </c>
      <c r="M293" s="11" t="str" cm="1">
        <f t="array" ref="M293">_xlfn.IFS(B293&lt;=25, "Young Adults", B293&lt;=35, "Emerging Professionals", B293&lt;=50, "Established Adults", TRUE, "Mature Customers")</f>
        <v>Established Adults</v>
      </c>
      <c r="N293" s="11" t="str">
        <f>IF(Dataset[[#This Row],[Total_Spent (€)]]&lt;10,"Low Spender",IF(Dataset[[#This Row],[Total_Spent (€)]]&lt;25,"Medium Spender","High Spender"))</f>
        <v>Low Spender</v>
      </c>
    </row>
    <row r="294" spans="1:14" x14ac:dyDescent="0.2">
      <c r="A294" s="14" t="s">
        <v>433</v>
      </c>
      <c r="B294" s="11">
        <v>21</v>
      </c>
      <c r="C294" s="11" t="s">
        <v>840</v>
      </c>
      <c r="D294" s="11">
        <v>21.79</v>
      </c>
      <c r="E294" s="11" t="s">
        <v>185</v>
      </c>
      <c r="F294" s="11" t="s">
        <v>432</v>
      </c>
      <c r="G294" s="11">
        <v>1</v>
      </c>
      <c r="H294" s="11">
        <v>8.17</v>
      </c>
      <c r="I294" s="11" t="str">
        <f>TEXT(Dataset[[#This Row],[Purchase_Date]],"[$-409]mmmm")</f>
        <v>March</v>
      </c>
      <c r="J294" s="12">
        <f>MONTH(Dataset[[#This Row],[Purchase_Date]])</f>
        <v>3</v>
      </c>
      <c r="K294" s="13" t="str">
        <f>TEXT(Dataset[[#This Row],[Purchase_Date]],"mm - [$-409]mmmm")</f>
        <v>03 - March</v>
      </c>
      <c r="L294" s="11">
        <f>IF(Dataset[[#This Row],[Purchase_Date]]="","",YEAR(Dataset[[#This Row],[Purchase_Date]]))</f>
        <v>2025</v>
      </c>
      <c r="M294" s="11" t="str" cm="1">
        <f t="array" ref="M294">_xlfn.IFS(B294&lt;=25, "Young Adults", B294&lt;=35, "Emerging Professionals", B294&lt;=50, "Established Adults", TRUE, "Mature Customers")</f>
        <v>Young Adults</v>
      </c>
      <c r="N294" s="11" t="str">
        <f>IF(Dataset[[#This Row],[Total_Spent (€)]]&lt;10,"Low Spender",IF(Dataset[[#This Row],[Total_Spent (€)]]&lt;25,"Medium Spender","High Spender"))</f>
        <v>Medium Spender</v>
      </c>
    </row>
    <row r="295" spans="1:14" x14ac:dyDescent="0.2">
      <c r="A295" s="14" t="s">
        <v>431</v>
      </c>
      <c r="B295" s="11">
        <v>30</v>
      </c>
      <c r="C295" s="11" t="s">
        <v>843</v>
      </c>
      <c r="D295" s="11"/>
      <c r="F295" s="11" t="s">
        <v>430</v>
      </c>
      <c r="G295" s="11">
        <v>0</v>
      </c>
      <c r="H295" s="11">
        <v>5.08</v>
      </c>
      <c r="I295" s="11" t="str">
        <f>TEXT(Dataset[[#This Row],[Purchase_Date]],"[$-409]mmmm")</f>
        <v>January</v>
      </c>
      <c r="J295" s="12">
        <f>MONTH(Dataset[[#This Row],[Purchase_Date]])</f>
        <v>1</v>
      </c>
      <c r="K295" s="13" t="str">
        <f>TEXT(Dataset[[#This Row],[Purchase_Date]],"mm - [$-409]mmmm")</f>
        <v>01 - January</v>
      </c>
      <c r="L295" s="11" t="str">
        <f>IF(Dataset[[#This Row],[Purchase_Date]]="","",YEAR(Dataset[[#This Row],[Purchase_Date]]))</f>
        <v/>
      </c>
      <c r="M295" s="11" t="str" cm="1">
        <f t="array" ref="M295">_xlfn.IFS(B295&lt;=25, "Young Adults", B295&lt;=35, "Emerging Professionals", B295&lt;=50, "Established Adults", TRUE, "Mature Customers")</f>
        <v>Emerging Professionals</v>
      </c>
      <c r="N295" s="11" t="str">
        <f>IF(Dataset[[#This Row],[Total_Spent (€)]]&lt;10,"Low Spender",IF(Dataset[[#This Row],[Total_Spent (€)]]&lt;25,"Medium Spender","High Spender"))</f>
        <v>Low Spender</v>
      </c>
    </row>
    <row r="296" spans="1:14" x14ac:dyDescent="0.2">
      <c r="A296" s="14" t="s">
        <v>429</v>
      </c>
      <c r="B296" s="11">
        <v>43</v>
      </c>
      <c r="C296" s="11" t="s">
        <v>846</v>
      </c>
      <c r="D296" s="11">
        <v>25.67</v>
      </c>
      <c r="E296" s="11" t="s">
        <v>95</v>
      </c>
      <c r="F296" s="11" t="s">
        <v>428</v>
      </c>
      <c r="G296" s="11">
        <v>1</v>
      </c>
      <c r="H296" s="11">
        <v>6.4</v>
      </c>
      <c r="I296" s="11" t="str">
        <f>TEXT(Dataset[[#This Row],[Purchase_Date]],"[$-409]mmmm")</f>
        <v>February</v>
      </c>
      <c r="J296" s="12">
        <f>MONTH(Dataset[[#This Row],[Purchase_Date]])</f>
        <v>2</v>
      </c>
      <c r="K296" s="13" t="str">
        <f>TEXT(Dataset[[#This Row],[Purchase_Date]],"mm - [$-409]mmmm")</f>
        <v>02 - February</v>
      </c>
      <c r="L296" s="11">
        <f>IF(Dataset[[#This Row],[Purchase_Date]]="","",YEAR(Dataset[[#This Row],[Purchase_Date]]))</f>
        <v>2025</v>
      </c>
      <c r="M296" s="11" t="str" cm="1">
        <f t="array" ref="M296">_xlfn.IFS(B296&lt;=25, "Young Adults", B296&lt;=35, "Emerging Professionals", B296&lt;=50, "Established Adults", TRUE, "Mature Customers")</f>
        <v>Established Adults</v>
      </c>
      <c r="N296" s="11" t="str">
        <f>IF(Dataset[[#This Row],[Total_Spent (€)]]&lt;10,"Low Spender",IF(Dataset[[#This Row],[Total_Spent (€)]]&lt;25,"Medium Spender","High Spender"))</f>
        <v>High Spender</v>
      </c>
    </row>
    <row r="297" spans="1:14" x14ac:dyDescent="0.2">
      <c r="A297" s="14" t="s">
        <v>427</v>
      </c>
      <c r="B297" s="11">
        <v>22</v>
      </c>
      <c r="C297" s="11" t="s">
        <v>5</v>
      </c>
      <c r="D297" s="11"/>
      <c r="F297" s="11" t="s">
        <v>426</v>
      </c>
      <c r="G297" s="11">
        <v>0</v>
      </c>
      <c r="H297" s="11">
        <v>7.25</v>
      </c>
      <c r="I297" s="11" t="str">
        <f>TEXT(Dataset[[#This Row],[Purchase_Date]],"[$-409]mmmm")</f>
        <v>January</v>
      </c>
      <c r="J297" s="12">
        <f>MONTH(Dataset[[#This Row],[Purchase_Date]])</f>
        <v>1</v>
      </c>
      <c r="K297" s="13" t="str">
        <f>TEXT(Dataset[[#This Row],[Purchase_Date]],"mm - [$-409]mmmm")</f>
        <v>01 - January</v>
      </c>
      <c r="L297" s="11" t="str">
        <f>IF(Dataset[[#This Row],[Purchase_Date]]="","",YEAR(Dataset[[#This Row],[Purchase_Date]]))</f>
        <v/>
      </c>
      <c r="M297" s="11" t="str" cm="1">
        <f t="array" ref="M297">_xlfn.IFS(B297&lt;=25, "Young Adults", B297&lt;=35, "Emerging Professionals", B297&lt;=50, "Established Adults", TRUE, "Mature Customers")</f>
        <v>Young Adults</v>
      </c>
      <c r="N297" s="11" t="str">
        <f>IF(Dataset[[#This Row],[Total_Spent (€)]]&lt;10,"Low Spender",IF(Dataset[[#This Row],[Total_Spent (€)]]&lt;25,"Medium Spender","High Spender"))</f>
        <v>Low Spender</v>
      </c>
    </row>
    <row r="298" spans="1:14" x14ac:dyDescent="0.2">
      <c r="A298" s="14" t="s">
        <v>425</v>
      </c>
      <c r="B298" s="11">
        <v>24</v>
      </c>
      <c r="C298" s="11" t="s">
        <v>30</v>
      </c>
      <c r="D298" s="11"/>
      <c r="F298" s="11" t="s">
        <v>424</v>
      </c>
      <c r="G298" s="11">
        <v>0</v>
      </c>
      <c r="H298" s="11">
        <v>8.4600000000000009</v>
      </c>
      <c r="I298" s="11" t="str">
        <f>TEXT(Dataset[[#This Row],[Purchase_Date]],"[$-409]mmmm")</f>
        <v>January</v>
      </c>
      <c r="J298" s="12">
        <f>MONTH(Dataset[[#This Row],[Purchase_Date]])</f>
        <v>1</v>
      </c>
      <c r="K298" s="13" t="str">
        <f>TEXT(Dataset[[#This Row],[Purchase_Date]],"mm - [$-409]mmmm")</f>
        <v>01 - January</v>
      </c>
      <c r="L298" s="11" t="str">
        <f>IF(Dataset[[#This Row],[Purchase_Date]]="","",YEAR(Dataset[[#This Row],[Purchase_Date]]))</f>
        <v/>
      </c>
      <c r="M298" s="11" t="str" cm="1">
        <f t="array" ref="M298">_xlfn.IFS(B298&lt;=25, "Young Adults", B298&lt;=35, "Emerging Professionals", B298&lt;=50, "Established Adults", TRUE, "Mature Customers")</f>
        <v>Young Adults</v>
      </c>
      <c r="N298" s="11" t="str">
        <f>IF(Dataset[[#This Row],[Total_Spent (€)]]&lt;10,"Low Spender",IF(Dataset[[#This Row],[Total_Spent (€)]]&lt;25,"Medium Spender","High Spender"))</f>
        <v>Low Spender</v>
      </c>
    </row>
    <row r="299" spans="1:14" x14ac:dyDescent="0.2">
      <c r="A299" s="14" t="s">
        <v>423</v>
      </c>
      <c r="B299" s="11">
        <v>48</v>
      </c>
      <c r="C299" s="11" t="s">
        <v>152</v>
      </c>
      <c r="D299" s="11"/>
      <c r="F299" s="11" t="s">
        <v>422</v>
      </c>
      <c r="G299" s="11">
        <v>0</v>
      </c>
      <c r="H299" s="11">
        <v>3.82</v>
      </c>
      <c r="I299" s="11" t="str">
        <f>TEXT(Dataset[[#This Row],[Purchase_Date]],"[$-409]mmmm")</f>
        <v>January</v>
      </c>
      <c r="J299" s="12">
        <f>MONTH(Dataset[[#This Row],[Purchase_Date]])</f>
        <v>1</v>
      </c>
      <c r="K299" s="13" t="str">
        <f>TEXT(Dataset[[#This Row],[Purchase_Date]],"mm - [$-409]mmmm")</f>
        <v>01 - January</v>
      </c>
      <c r="L299" s="11" t="str">
        <f>IF(Dataset[[#This Row],[Purchase_Date]]="","",YEAR(Dataset[[#This Row],[Purchase_Date]]))</f>
        <v/>
      </c>
      <c r="M299" s="11" t="str" cm="1">
        <f t="array" ref="M299">_xlfn.IFS(B299&lt;=25, "Young Adults", B299&lt;=35, "Emerging Professionals", B299&lt;=50, "Established Adults", TRUE, "Mature Customers")</f>
        <v>Established Adults</v>
      </c>
      <c r="N299" s="11" t="str">
        <f>IF(Dataset[[#This Row],[Total_Spent (€)]]&lt;10,"Low Spender",IF(Dataset[[#This Row],[Total_Spent (€)]]&lt;25,"Medium Spender","High Spender"))</f>
        <v>Low Spender</v>
      </c>
    </row>
    <row r="300" spans="1:14" x14ac:dyDescent="0.2">
      <c r="A300" s="14" t="s">
        <v>421</v>
      </c>
      <c r="B300" s="11">
        <v>19</v>
      </c>
      <c r="C300" s="11" t="s">
        <v>847</v>
      </c>
      <c r="D300" s="11"/>
      <c r="F300" s="11" t="s">
        <v>157</v>
      </c>
      <c r="G300" s="11">
        <v>0</v>
      </c>
      <c r="H300" s="11">
        <v>4.3099999999999996</v>
      </c>
      <c r="I300" s="11" t="str">
        <f>TEXT(Dataset[[#This Row],[Purchase_Date]],"[$-409]mmmm")</f>
        <v>January</v>
      </c>
      <c r="J300" s="12">
        <f>MONTH(Dataset[[#This Row],[Purchase_Date]])</f>
        <v>1</v>
      </c>
      <c r="K300" s="13" t="str">
        <f>TEXT(Dataset[[#This Row],[Purchase_Date]],"mm - [$-409]mmmm")</f>
        <v>01 - January</v>
      </c>
      <c r="L300" s="11" t="str">
        <f>IF(Dataset[[#This Row],[Purchase_Date]]="","",YEAR(Dataset[[#This Row],[Purchase_Date]]))</f>
        <v/>
      </c>
      <c r="M300" s="11" t="str" cm="1">
        <f t="array" ref="M300">_xlfn.IFS(B300&lt;=25, "Young Adults", B300&lt;=35, "Emerging Professionals", B300&lt;=50, "Established Adults", TRUE, "Mature Customers")</f>
        <v>Young Adults</v>
      </c>
      <c r="N300" s="11" t="str">
        <f>IF(Dataset[[#This Row],[Total_Spent (€)]]&lt;10,"Low Spender",IF(Dataset[[#This Row],[Total_Spent (€)]]&lt;25,"Medium Spender","High Spender"))</f>
        <v>Low Spender</v>
      </c>
    </row>
    <row r="301" spans="1:14" x14ac:dyDescent="0.2">
      <c r="A301" s="14" t="s">
        <v>420</v>
      </c>
      <c r="B301" s="11">
        <v>25</v>
      </c>
      <c r="C301" s="11" t="s">
        <v>86</v>
      </c>
      <c r="D301" s="11"/>
      <c r="F301" s="11" t="s">
        <v>32</v>
      </c>
      <c r="G301" s="11">
        <v>0</v>
      </c>
      <c r="H301" s="11">
        <v>8.98</v>
      </c>
      <c r="I301" s="11" t="str">
        <f>TEXT(Dataset[[#This Row],[Purchase_Date]],"[$-409]mmmm")</f>
        <v>January</v>
      </c>
      <c r="J301" s="12">
        <f>MONTH(Dataset[[#This Row],[Purchase_Date]])</f>
        <v>1</v>
      </c>
      <c r="K301" s="13" t="str">
        <f>TEXT(Dataset[[#This Row],[Purchase_Date]],"mm - [$-409]mmmm")</f>
        <v>01 - January</v>
      </c>
      <c r="L301" s="11" t="str">
        <f>IF(Dataset[[#This Row],[Purchase_Date]]="","",YEAR(Dataset[[#This Row],[Purchase_Date]]))</f>
        <v/>
      </c>
      <c r="M301" s="11" t="str" cm="1">
        <f t="array" ref="M301">_xlfn.IFS(B301&lt;=25, "Young Adults", B301&lt;=35, "Emerging Professionals", B301&lt;=50, "Established Adults", TRUE, "Mature Customers")</f>
        <v>Young Adults</v>
      </c>
      <c r="N301" s="11" t="str">
        <f>IF(Dataset[[#This Row],[Total_Spent (€)]]&lt;10,"Low Spender",IF(Dataset[[#This Row],[Total_Spent (€)]]&lt;25,"Medium Spender","High Spender"))</f>
        <v>Low Spender</v>
      </c>
    </row>
    <row r="302" spans="1:14" x14ac:dyDescent="0.2">
      <c r="A302" s="14" t="s">
        <v>419</v>
      </c>
      <c r="B302" s="11">
        <v>20</v>
      </c>
      <c r="C302" s="11" t="s">
        <v>5</v>
      </c>
      <c r="D302" s="11"/>
      <c r="F302" s="11" t="s">
        <v>149</v>
      </c>
      <c r="G302" s="11">
        <v>0</v>
      </c>
      <c r="H302" s="11">
        <v>3.38</v>
      </c>
      <c r="I302" s="11" t="str">
        <f>TEXT(Dataset[[#This Row],[Purchase_Date]],"[$-409]mmmm")</f>
        <v>January</v>
      </c>
      <c r="J302" s="12">
        <f>MONTH(Dataset[[#This Row],[Purchase_Date]])</f>
        <v>1</v>
      </c>
      <c r="K302" s="13" t="str">
        <f>TEXT(Dataset[[#This Row],[Purchase_Date]],"mm - [$-409]mmmm")</f>
        <v>01 - January</v>
      </c>
      <c r="L302" s="11" t="str">
        <f>IF(Dataset[[#This Row],[Purchase_Date]]="","",YEAR(Dataset[[#This Row],[Purchase_Date]]))</f>
        <v/>
      </c>
      <c r="M302" s="11" t="str" cm="1">
        <f t="array" ref="M302">_xlfn.IFS(B302&lt;=25, "Young Adults", B302&lt;=35, "Emerging Professionals", B302&lt;=50, "Established Adults", TRUE, "Mature Customers")</f>
        <v>Young Adults</v>
      </c>
      <c r="N302" s="11" t="str">
        <f>IF(Dataset[[#This Row],[Total_Spent (€)]]&lt;10,"Low Spender",IF(Dataset[[#This Row],[Total_Spent (€)]]&lt;25,"Medium Spender","High Spender"))</f>
        <v>Low Spender</v>
      </c>
    </row>
    <row r="303" spans="1:14" x14ac:dyDescent="0.2">
      <c r="A303" s="14" t="s">
        <v>418</v>
      </c>
      <c r="B303" s="11">
        <v>40</v>
      </c>
      <c r="C303" s="11" t="s">
        <v>13</v>
      </c>
      <c r="D303" s="11"/>
      <c r="F303" s="11" t="s">
        <v>417</v>
      </c>
      <c r="G303" s="11">
        <v>0</v>
      </c>
      <c r="H303" s="11">
        <v>2.0099999999999998</v>
      </c>
      <c r="I303" s="11" t="str">
        <f>TEXT(Dataset[[#This Row],[Purchase_Date]],"[$-409]mmmm")</f>
        <v>January</v>
      </c>
      <c r="J303" s="12">
        <f>MONTH(Dataset[[#This Row],[Purchase_Date]])</f>
        <v>1</v>
      </c>
      <c r="K303" s="13" t="str">
        <f>TEXT(Dataset[[#This Row],[Purchase_Date]],"mm - [$-409]mmmm")</f>
        <v>01 - January</v>
      </c>
      <c r="L303" s="11" t="str">
        <f>IF(Dataset[[#This Row],[Purchase_Date]]="","",YEAR(Dataset[[#This Row],[Purchase_Date]]))</f>
        <v/>
      </c>
      <c r="M303" s="11" t="str" cm="1">
        <f t="array" ref="M303">_xlfn.IFS(B303&lt;=25, "Young Adults", B303&lt;=35, "Emerging Professionals", B303&lt;=50, "Established Adults", TRUE, "Mature Customers")</f>
        <v>Established Adults</v>
      </c>
      <c r="N303" s="11" t="str">
        <f>IF(Dataset[[#This Row],[Total_Spent (€)]]&lt;10,"Low Spender",IF(Dataset[[#This Row],[Total_Spent (€)]]&lt;25,"Medium Spender","High Spender"))</f>
        <v>Low Spender</v>
      </c>
    </row>
    <row r="304" spans="1:14" x14ac:dyDescent="0.2">
      <c r="A304" s="14" t="s">
        <v>416</v>
      </c>
      <c r="B304" s="11">
        <v>20</v>
      </c>
      <c r="C304" s="11" t="s">
        <v>43</v>
      </c>
      <c r="D304" s="11"/>
      <c r="F304" s="11" t="s">
        <v>254</v>
      </c>
      <c r="G304" s="11">
        <v>0</v>
      </c>
      <c r="H304" s="11">
        <v>4.75</v>
      </c>
      <c r="I304" s="11" t="str">
        <f>TEXT(Dataset[[#This Row],[Purchase_Date]],"[$-409]mmmm")</f>
        <v>January</v>
      </c>
      <c r="J304" s="12">
        <f>MONTH(Dataset[[#This Row],[Purchase_Date]])</f>
        <v>1</v>
      </c>
      <c r="K304" s="13" t="str">
        <f>TEXT(Dataset[[#This Row],[Purchase_Date]],"mm - [$-409]mmmm")</f>
        <v>01 - January</v>
      </c>
      <c r="L304" s="11" t="str">
        <f>IF(Dataset[[#This Row],[Purchase_Date]]="","",YEAR(Dataset[[#This Row],[Purchase_Date]]))</f>
        <v/>
      </c>
      <c r="M304" s="11" t="str" cm="1">
        <f t="array" ref="M304">_xlfn.IFS(B304&lt;=25, "Young Adults", B304&lt;=35, "Emerging Professionals", B304&lt;=50, "Established Adults", TRUE, "Mature Customers")</f>
        <v>Young Adults</v>
      </c>
      <c r="N304" s="11" t="str">
        <f>IF(Dataset[[#This Row],[Total_Spent (€)]]&lt;10,"Low Spender",IF(Dataset[[#This Row],[Total_Spent (€)]]&lt;25,"Medium Spender","High Spender"))</f>
        <v>Low Spender</v>
      </c>
    </row>
    <row r="305" spans="1:14" x14ac:dyDescent="0.2">
      <c r="A305" s="14" t="s">
        <v>415</v>
      </c>
      <c r="B305" s="11">
        <v>19</v>
      </c>
      <c r="C305" s="11" t="s">
        <v>844</v>
      </c>
      <c r="D305" s="11">
        <v>9.81</v>
      </c>
      <c r="E305" s="11" t="s">
        <v>248</v>
      </c>
      <c r="F305" s="11" t="s">
        <v>414</v>
      </c>
      <c r="G305" s="11">
        <v>1</v>
      </c>
      <c r="H305" s="11">
        <v>3.84</v>
      </c>
      <c r="I305" s="11" t="str">
        <f>TEXT(Dataset[[#This Row],[Purchase_Date]],"[$-409]mmmm")</f>
        <v>August</v>
      </c>
      <c r="J305" s="12">
        <f>MONTH(Dataset[[#This Row],[Purchase_Date]])</f>
        <v>8</v>
      </c>
      <c r="K305" s="13" t="str">
        <f>TEXT(Dataset[[#This Row],[Purchase_Date]],"mm - [$-409]mmmm")</f>
        <v>08 - August</v>
      </c>
      <c r="L305" s="11">
        <f>IF(Dataset[[#This Row],[Purchase_Date]]="","",YEAR(Dataset[[#This Row],[Purchase_Date]]))</f>
        <v>2024</v>
      </c>
      <c r="M305" s="11" t="str" cm="1">
        <f t="array" ref="M305">_xlfn.IFS(B305&lt;=25, "Young Adults", B305&lt;=35, "Emerging Professionals", B305&lt;=50, "Established Adults", TRUE, "Mature Customers")</f>
        <v>Young Adults</v>
      </c>
      <c r="N305" s="11" t="str">
        <f>IF(Dataset[[#This Row],[Total_Spent (€)]]&lt;10,"Low Spender",IF(Dataset[[#This Row],[Total_Spent (€)]]&lt;25,"Medium Spender","High Spender"))</f>
        <v>Low Spender</v>
      </c>
    </row>
    <row r="306" spans="1:14" x14ac:dyDescent="0.2">
      <c r="A306" s="14" t="s">
        <v>413</v>
      </c>
      <c r="B306" s="11">
        <v>22</v>
      </c>
      <c r="C306" s="11" t="s">
        <v>842</v>
      </c>
      <c r="D306" s="11">
        <v>15.07</v>
      </c>
      <c r="E306" s="11" t="s">
        <v>193</v>
      </c>
      <c r="F306" s="11" t="s">
        <v>412</v>
      </c>
      <c r="G306" s="11">
        <v>1</v>
      </c>
      <c r="H306" s="11">
        <v>8.1300000000000008</v>
      </c>
      <c r="I306" s="11" t="str">
        <f>TEXT(Dataset[[#This Row],[Purchase_Date]],"[$-409]mmmm")</f>
        <v>June</v>
      </c>
      <c r="J306" s="12">
        <f>MONTH(Dataset[[#This Row],[Purchase_Date]])</f>
        <v>6</v>
      </c>
      <c r="K306" s="13" t="str">
        <f>TEXT(Dataset[[#This Row],[Purchase_Date]],"mm - [$-409]mmmm")</f>
        <v>06 - June</v>
      </c>
      <c r="L306" s="11">
        <f>IF(Dataset[[#This Row],[Purchase_Date]]="","",YEAR(Dataset[[#This Row],[Purchase_Date]]))</f>
        <v>2024</v>
      </c>
      <c r="M306" s="11" t="str" cm="1">
        <f t="array" ref="M306">_xlfn.IFS(B306&lt;=25, "Young Adults", B306&lt;=35, "Emerging Professionals", B306&lt;=50, "Established Adults", TRUE, "Mature Customers")</f>
        <v>Young Adults</v>
      </c>
      <c r="N306" s="11" t="str">
        <f>IF(Dataset[[#This Row],[Total_Spent (€)]]&lt;10,"Low Spender",IF(Dataset[[#This Row],[Total_Spent (€)]]&lt;25,"Medium Spender","High Spender"))</f>
        <v>Medium Spender</v>
      </c>
    </row>
    <row r="307" spans="1:14" x14ac:dyDescent="0.2">
      <c r="A307" s="14" t="s">
        <v>411</v>
      </c>
      <c r="B307" s="11">
        <v>27</v>
      </c>
      <c r="C307" s="11" t="s">
        <v>841</v>
      </c>
      <c r="D307" s="11">
        <v>11.58</v>
      </c>
      <c r="E307" s="11" t="s">
        <v>351</v>
      </c>
      <c r="F307" s="11" t="s">
        <v>130</v>
      </c>
      <c r="G307" s="11">
        <v>1</v>
      </c>
      <c r="H307" s="11">
        <v>9.35</v>
      </c>
      <c r="I307" s="11" t="str">
        <f>TEXT(Dataset[[#This Row],[Purchase_Date]],"[$-409]mmmm")</f>
        <v>March</v>
      </c>
      <c r="J307" s="12">
        <f>MONTH(Dataset[[#This Row],[Purchase_Date]])</f>
        <v>3</v>
      </c>
      <c r="K307" s="13" t="str">
        <f>TEXT(Dataset[[#This Row],[Purchase_Date]],"mm - [$-409]mmmm")</f>
        <v>03 - March</v>
      </c>
      <c r="L307" s="11">
        <f>IF(Dataset[[#This Row],[Purchase_Date]]="","",YEAR(Dataset[[#This Row],[Purchase_Date]]))</f>
        <v>2025</v>
      </c>
      <c r="M307" s="11" t="str" cm="1">
        <f t="array" ref="M307">_xlfn.IFS(B307&lt;=25, "Young Adults", B307&lt;=35, "Emerging Professionals", B307&lt;=50, "Established Adults", TRUE, "Mature Customers")</f>
        <v>Emerging Professionals</v>
      </c>
      <c r="N307" s="11" t="str">
        <f>IF(Dataset[[#This Row],[Total_Spent (€)]]&lt;10,"Low Spender",IF(Dataset[[#This Row],[Total_Spent (€)]]&lt;25,"Medium Spender","High Spender"))</f>
        <v>Medium Spender</v>
      </c>
    </row>
    <row r="308" spans="1:14" x14ac:dyDescent="0.2">
      <c r="A308" s="14" t="s">
        <v>410</v>
      </c>
      <c r="B308" s="11">
        <v>31</v>
      </c>
      <c r="C308" s="11" t="s">
        <v>38</v>
      </c>
      <c r="D308" s="11"/>
      <c r="F308" s="11" t="s">
        <v>301</v>
      </c>
      <c r="G308" s="11">
        <v>0</v>
      </c>
      <c r="H308" s="11">
        <v>7.55</v>
      </c>
      <c r="I308" s="11" t="str">
        <f>TEXT(Dataset[[#This Row],[Purchase_Date]],"[$-409]mmmm")</f>
        <v>January</v>
      </c>
      <c r="J308" s="12">
        <f>MONTH(Dataset[[#This Row],[Purchase_Date]])</f>
        <v>1</v>
      </c>
      <c r="K308" s="13" t="str">
        <f>TEXT(Dataset[[#This Row],[Purchase_Date]],"mm - [$-409]mmmm")</f>
        <v>01 - January</v>
      </c>
      <c r="L308" s="11" t="str">
        <f>IF(Dataset[[#This Row],[Purchase_Date]]="","",YEAR(Dataset[[#This Row],[Purchase_Date]]))</f>
        <v/>
      </c>
      <c r="M308" s="11" t="str" cm="1">
        <f t="array" ref="M308">_xlfn.IFS(B308&lt;=25, "Young Adults", B308&lt;=35, "Emerging Professionals", B308&lt;=50, "Established Adults", TRUE, "Mature Customers")</f>
        <v>Emerging Professionals</v>
      </c>
      <c r="N308" s="11" t="str">
        <f>IF(Dataset[[#This Row],[Total_Spent (€)]]&lt;10,"Low Spender",IF(Dataset[[#This Row],[Total_Spent (€)]]&lt;25,"Medium Spender","High Spender"))</f>
        <v>Low Spender</v>
      </c>
    </row>
    <row r="309" spans="1:14" x14ac:dyDescent="0.2">
      <c r="A309" s="14" t="s">
        <v>409</v>
      </c>
      <c r="B309" s="11">
        <v>38</v>
      </c>
      <c r="C309" s="11" t="s">
        <v>9</v>
      </c>
      <c r="D309" s="11"/>
      <c r="F309" s="11" t="s">
        <v>68</v>
      </c>
      <c r="G309" s="11">
        <v>0</v>
      </c>
      <c r="H309" s="11">
        <v>7.26</v>
      </c>
      <c r="I309" s="11" t="str">
        <f>TEXT(Dataset[[#This Row],[Purchase_Date]],"[$-409]mmmm")</f>
        <v>January</v>
      </c>
      <c r="J309" s="12">
        <f>MONTH(Dataset[[#This Row],[Purchase_Date]])</f>
        <v>1</v>
      </c>
      <c r="K309" s="13" t="str">
        <f>TEXT(Dataset[[#This Row],[Purchase_Date]],"mm - [$-409]mmmm")</f>
        <v>01 - January</v>
      </c>
      <c r="L309" s="11" t="str">
        <f>IF(Dataset[[#This Row],[Purchase_Date]]="","",YEAR(Dataset[[#This Row],[Purchase_Date]]))</f>
        <v/>
      </c>
      <c r="M309" s="11" t="str" cm="1">
        <f t="array" ref="M309">_xlfn.IFS(B309&lt;=25, "Young Adults", B309&lt;=35, "Emerging Professionals", B309&lt;=50, "Established Adults", TRUE, "Mature Customers")</f>
        <v>Established Adults</v>
      </c>
      <c r="N309" s="11" t="str">
        <f>IF(Dataset[[#This Row],[Total_Spent (€)]]&lt;10,"Low Spender",IF(Dataset[[#This Row],[Total_Spent (€)]]&lt;25,"Medium Spender","High Spender"))</f>
        <v>Low Spender</v>
      </c>
    </row>
    <row r="310" spans="1:14" x14ac:dyDescent="0.2">
      <c r="A310" s="14" t="s">
        <v>408</v>
      </c>
      <c r="B310" s="11">
        <v>29</v>
      </c>
      <c r="C310" s="11" t="s">
        <v>17</v>
      </c>
      <c r="D310" s="11"/>
      <c r="F310" s="11" t="s">
        <v>52</v>
      </c>
      <c r="G310" s="11">
        <v>0</v>
      </c>
      <c r="H310" s="11">
        <v>9.1999999999999993</v>
      </c>
      <c r="I310" s="11" t="str">
        <f>TEXT(Dataset[[#This Row],[Purchase_Date]],"[$-409]mmmm")</f>
        <v>January</v>
      </c>
      <c r="J310" s="12">
        <f>MONTH(Dataset[[#This Row],[Purchase_Date]])</f>
        <v>1</v>
      </c>
      <c r="K310" s="13" t="str">
        <f>TEXT(Dataset[[#This Row],[Purchase_Date]],"mm - [$-409]mmmm")</f>
        <v>01 - January</v>
      </c>
      <c r="L310" s="11" t="str">
        <f>IF(Dataset[[#This Row],[Purchase_Date]]="","",YEAR(Dataset[[#This Row],[Purchase_Date]]))</f>
        <v/>
      </c>
      <c r="M310" s="11" t="str" cm="1">
        <f t="array" ref="M310">_xlfn.IFS(B310&lt;=25, "Young Adults", B310&lt;=35, "Emerging Professionals", B310&lt;=50, "Established Adults", TRUE, "Mature Customers")</f>
        <v>Emerging Professionals</v>
      </c>
      <c r="N310" s="11" t="str">
        <f>IF(Dataset[[#This Row],[Total_Spent (€)]]&lt;10,"Low Spender",IF(Dataset[[#This Row],[Total_Spent (€)]]&lt;25,"Medium Spender","High Spender"))</f>
        <v>Low Spender</v>
      </c>
    </row>
    <row r="311" spans="1:14" x14ac:dyDescent="0.2">
      <c r="A311" s="14" t="s">
        <v>407</v>
      </c>
      <c r="B311" s="11">
        <v>54</v>
      </c>
      <c r="C311" s="11" t="s">
        <v>846</v>
      </c>
      <c r="D311" s="11">
        <v>33.14</v>
      </c>
      <c r="E311" s="11" t="s">
        <v>406</v>
      </c>
      <c r="F311" s="11" t="s">
        <v>396</v>
      </c>
      <c r="G311" s="11">
        <v>1</v>
      </c>
      <c r="H311" s="11">
        <v>8.6199999999999992</v>
      </c>
      <c r="I311" s="11" t="str">
        <f>TEXT(Dataset[[#This Row],[Purchase_Date]],"[$-409]mmmm")</f>
        <v>January</v>
      </c>
      <c r="J311" s="12">
        <f>MONTH(Dataset[[#This Row],[Purchase_Date]])</f>
        <v>1</v>
      </c>
      <c r="K311" s="13" t="str">
        <f>TEXT(Dataset[[#This Row],[Purchase_Date]],"mm - [$-409]mmmm")</f>
        <v>01 - January</v>
      </c>
      <c r="L311" s="11">
        <f>IF(Dataset[[#This Row],[Purchase_Date]]="","",YEAR(Dataset[[#This Row],[Purchase_Date]]))</f>
        <v>2025</v>
      </c>
      <c r="M311" s="11" t="str" cm="1">
        <f t="array" ref="M311">_xlfn.IFS(B311&lt;=25, "Young Adults", B311&lt;=35, "Emerging Professionals", B311&lt;=50, "Established Adults", TRUE, "Mature Customers")</f>
        <v>Mature Customers</v>
      </c>
      <c r="N311" s="11" t="str">
        <f>IF(Dataset[[#This Row],[Total_Spent (€)]]&lt;10,"Low Spender",IF(Dataset[[#This Row],[Total_Spent (€)]]&lt;25,"Medium Spender","High Spender"))</f>
        <v>High Spender</v>
      </c>
    </row>
    <row r="312" spans="1:14" x14ac:dyDescent="0.2">
      <c r="A312" s="14" t="s">
        <v>405</v>
      </c>
      <c r="B312" s="11">
        <v>28</v>
      </c>
      <c r="C312" s="11" t="s">
        <v>841</v>
      </c>
      <c r="D312" s="11"/>
      <c r="F312" s="11" t="s">
        <v>355</v>
      </c>
      <c r="G312" s="11">
        <v>0</v>
      </c>
      <c r="H312" s="11">
        <v>9.0399999999999991</v>
      </c>
      <c r="I312" s="11" t="str">
        <f>TEXT(Dataset[[#This Row],[Purchase_Date]],"[$-409]mmmm")</f>
        <v>January</v>
      </c>
      <c r="J312" s="12">
        <f>MONTH(Dataset[[#This Row],[Purchase_Date]])</f>
        <v>1</v>
      </c>
      <c r="K312" s="13" t="str">
        <f>TEXT(Dataset[[#This Row],[Purchase_Date]],"mm - [$-409]mmmm")</f>
        <v>01 - January</v>
      </c>
      <c r="L312" s="11" t="str">
        <f>IF(Dataset[[#This Row],[Purchase_Date]]="","",YEAR(Dataset[[#This Row],[Purchase_Date]]))</f>
        <v/>
      </c>
      <c r="M312" s="11" t="str" cm="1">
        <f t="array" ref="M312">_xlfn.IFS(B312&lt;=25, "Young Adults", B312&lt;=35, "Emerging Professionals", B312&lt;=50, "Established Adults", TRUE, "Mature Customers")</f>
        <v>Emerging Professionals</v>
      </c>
      <c r="N312" s="11" t="str">
        <f>IF(Dataset[[#This Row],[Total_Spent (€)]]&lt;10,"Low Spender",IF(Dataset[[#This Row],[Total_Spent (€)]]&lt;25,"Medium Spender","High Spender"))</f>
        <v>Low Spender</v>
      </c>
    </row>
    <row r="313" spans="1:14" x14ac:dyDescent="0.2">
      <c r="A313" s="14" t="s">
        <v>404</v>
      </c>
      <c r="B313" s="11">
        <v>51</v>
      </c>
      <c r="C313" s="11" t="s">
        <v>13</v>
      </c>
      <c r="D313" s="11"/>
      <c r="F313" s="11" t="s">
        <v>403</v>
      </c>
      <c r="G313" s="11">
        <v>0</v>
      </c>
      <c r="H313" s="11">
        <v>2.98</v>
      </c>
      <c r="I313" s="11" t="str">
        <f>TEXT(Dataset[[#This Row],[Purchase_Date]],"[$-409]mmmm")</f>
        <v>January</v>
      </c>
      <c r="J313" s="12">
        <f>MONTH(Dataset[[#This Row],[Purchase_Date]])</f>
        <v>1</v>
      </c>
      <c r="K313" s="13" t="str">
        <f>TEXT(Dataset[[#This Row],[Purchase_Date]],"mm - [$-409]mmmm")</f>
        <v>01 - January</v>
      </c>
      <c r="L313" s="11" t="str">
        <f>IF(Dataset[[#This Row],[Purchase_Date]]="","",YEAR(Dataset[[#This Row],[Purchase_Date]]))</f>
        <v/>
      </c>
      <c r="M313" s="11" t="str" cm="1">
        <f t="array" ref="M313">_xlfn.IFS(B313&lt;=25, "Young Adults", B313&lt;=35, "Emerging Professionals", B313&lt;=50, "Established Adults", TRUE, "Mature Customers")</f>
        <v>Mature Customers</v>
      </c>
      <c r="N313" s="11" t="str">
        <f>IF(Dataset[[#This Row],[Total_Spent (€)]]&lt;10,"Low Spender",IF(Dataset[[#This Row],[Total_Spent (€)]]&lt;25,"Medium Spender","High Spender"))</f>
        <v>Low Spender</v>
      </c>
    </row>
    <row r="314" spans="1:14" x14ac:dyDescent="0.2">
      <c r="A314" s="14" t="s">
        <v>402</v>
      </c>
      <c r="B314" s="11">
        <v>26</v>
      </c>
      <c r="C314" s="11" t="s">
        <v>20</v>
      </c>
      <c r="D314" s="11"/>
      <c r="F314" s="11" t="s">
        <v>401</v>
      </c>
      <c r="G314" s="11">
        <v>0</v>
      </c>
      <c r="H314" s="11">
        <v>2.61</v>
      </c>
      <c r="I314" s="11" t="str">
        <f>TEXT(Dataset[[#This Row],[Purchase_Date]],"[$-409]mmmm")</f>
        <v>January</v>
      </c>
      <c r="J314" s="12">
        <f>MONTH(Dataset[[#This Row],[Purchase_Date]])</f>
        <v>1</v>
      </c>
      <c r="K314" s="13" t="str">
        <f>TEXT(Dataset[[#This Row],[Purchase_Date]],"mm - [$-409]mmmm")</f>
        <v>01 - January</v>
      </c>
      <c r="L314" s="11" t="str">
        <f>IF(Dataset[[#This Row],[Purchase_Date]]="","",YEAR(Dataset[[#This Row],[Purchase_Date]]))</f>
        <v/>
      </c>
      <c r="M314" s="11" t="str" cm="1">
        <f t="array" ref="M314">_xlfn.IFS(B314&lt;=25, "Young Adults", B314&lt;=35, "Emerging Professionals", B314&lt;=50, "Established Adults", TRUE, "Mature Customers")</f>
        <v>Emerging Professionals</v>
      </c>
      <c r="N314" s="11" t="str">
        <f>IF(Dataset[[#This Row],[Total_Spent (€)]]&lt;10,"Low Spender",IF(Dataset[[#This Row],[Total_Spent (€)]]&lt;25,"Medium Spender","High Spender"))</f>
        <v>Low Spender</v>
      </c>
    </row>
    <row r="315" spans="1:14" x14ac:dyDescent="0.2">
      <c r="A315" s="14" t="s">
        <v>400</v>
      </c>
      <c r="B315" s="11">
        <v>47</v>
      </c>
      <c r="C315" s="11" t="s">
        <v>845</v>
      </c>
      <c r="D315" s="11"/>
      <c r="F315" s="11" t="s">
        <v>399</v>
      </c>
      <c r="G315" s="11">
        <v>0</v>
      </c>
      <c r="H315" s="11">
        <v>8.27</v>
      </c>
      <c r="I315" s="11" t="str">
        <f>TEXT(Dataset[[#This Row],[Purchase_Date]],"[$-409]mmmm")</f>
        <v>January</v>
      </c>
      <c r="J315" s="12">
        <f>MONTH(Dataset[[#This Row],[Purchase_Date]])</f>
        <v>1</v>
      </c>
      <c r="K315" s="13" t="str">
        <f>TEXT(Dataset[[#This Row],[Purchase_Date]],"mm - [$-409]mmmm")</f>
        <v>01 - January</v>
      </c>
      <c r="L315" s="11" t="str">
        <f>IF(Dataset[[#This Row],[Purchase_Date]]="","",YEAR(Dataset[[#This Row],[Purchase_Date]]))</f>
        <v/>
      </c>
      <c r="M315" s="11" t="str" cm="1">
        <f t="array" ref="M315">_xlfn.IFS(B315&lt;=25, "Young Adults", B315&lt;=35, "Emerging Professionals", B315&lt;=50, "Established Adults", TRUE, "Mature Customers")</f>
        <v>Established Adults</v>
      </c>
      <c r="N315" s="11" t="str">
        <f>IF(Dataset[[#This Row],[Total_Spent (€)]]&lt;10,"Low Spender",IF(Dataset[[#This Row],[Total_Spent (€)]]&lt;25,"Medium Spender","High Spender"))</f>
        <v>Low Spender</v>
      </c>
    </row>
    <row r="316" spans="1:14" x14ac:dyDescent="0.2">
      <c r="A316" s="14" t="s">
        <v>398</v>
      </c>
      <c r="B316" s="11">
        <v>47</v>
      </c>
      <c r="C316" s="11" t="s">
        <v>38</v>
      </c>
      <c r="D316" s="11">
        <v>12.23</v>
      </c>
      <c r="E316" s="11" t="s">
        <v>397</v>
      </c>
      <c r="F316" s="11" t="s">
        <v>396</v>
      </c>
      <c r="G316" s="11">
        <v>1</v>
      </c>
      <c r="H316" s="11">
        <v>6.1</v>
      </c>
      <c r="I316" s="11" t="str">
        <f>TEXT(Dataset[[#This Row],[Purchase_Date]],"[$-409]mmmm")</f>
        <v>December</v>
      </c>
      <c r="J316" s="12">
        <f>MONTH(Dataset[[#This Row],[Purchase_Date]])</f>
        <v>12</v>
      </c>
      <c r="K316" s="13" t="str">
        <f>TEXT(Dataset[[#This Row],[Purchase_Date]],"mm - [$-409]mmmm")</f>
        <v>12 - December</v>
      </c>
      <c r="L316" s="11">
        <f>IF(Dataset[[#This Row],[Purchase_Date]]="","",YEAR(Dataset[[#This Row],[Purchase_Date]]))</f>
        <v>2024</v>
      </c>
      <c r="M316" s="11" t="str" cm="1">
        <f t="array" ref="M316">_xlfn.IFS(B316&lt;=25, "Young Adults", B316&lt;=35, "Emerging Professionals", B316&lt;=50, "Established Adults", TRUE, "Mature Customers")</f>
        <v>Established Adults</v>
      </c>
      <c r="N316" s="11" t="str">
        <f>IF(Dataset[[#This Row],[Total_Spent (€)]]&lt;10,"Low Spender",IF(Dataset[[#This Row],[Total_Spent (€)]]&lt;25,"Medium Spender","High Spender"))</f>
        <v>Medium Spender</v>
      </c>
    </row>
    <row r="317" spans="1:14" x14ac:dyDescent="0.2">
      <c r="A317" s="14" t="s">
        <v>395</v>
      </c>
      <c r="B317" s="11">
        <v>44</v>
      </c>
      <c r="C317" s="11" t="s">
        <v>842</v>
      </c>
      <c r="D317" s="11">
        <v>18.8</v>
      </c>
      <c r="E317" s="11" t="s">
        <v>394</v>
      </c>
      <c r="F317" s="11" t="s">
        <v>393</v>
      </c>
      <c r="G317" s="11">
        <v>1</v>
      </c>
      <c r="H317" s="11">
        <v>6.83</v>
      </c>
      <c r="I317" s="11" t="str">
        <f>TEXT(Dataset[[#This Row],[Purchase_Date]],"[$-409]mmmm")</f>
        <v>August</v>
      </c>
      <c r="J317" s="12">
        <f>MONTH(Dataset[[#This Row],[Purchase_Date]])</f>
        <v>8</v>
      </c>
      <c r="K317" s="13" t="str">
        <f>TEXT(Dataset[[#This Row],[Purchase_Date]],"mm - [$-409]mmmm")</f>
        <v>08 - August</v>
      </c>
      <c r="L317" s="11">
        <f>IF(Dataset[[#This Row],[Purchase_Date]]="","",YEAR(Dataset[[#This Row],[Purchase_Date]]))</f>
        <v>2024</v>
      </c>
      <c r="M317" s="11" t="str" cm="1">
        <f t="array" ref="M317">_xlfn.IFS(B317&lt;=25, "Young Adults", B317&lt;=35, "Emerging Professionals", B317&lt;=50, "Established Adults", TRUE, "Mature Customers")</f>
        <v>Established Adults</v>
      </c>
      <c r="N317" s="11" t="str">
        <f>IF(Dataset[[#This Row],[Total_Spent (€)]]&lt;10,"Low Spender",IF(Dataset[[#This Row],[Total_Spent (€)]]&lt;25,"Medium Spender","High Spender"))</f>
        <v>Medium Spender</v>
      </c>
    </row>
    <row r="318" spans="1:14" x14ac:dyDescent="0.2">
      <c r="A318" s="14" t="s">
        <v>392</v>
      </c>
      <c r="B318" s="11">
        <v>23</v>
      </c>
      <c r="C318" s="11" t="s">
        <v>86</v>
      </c>
      <c r="D318" s="11">
        <v>22.42</v>
      </c>
      <c r="E318" s="11" t="s">
        <v>172</v>
      </c>
      <c r="F318" s="11" t="s">
        <v>172</v>
      </c>
      <c r="G318" s="11">
        <v>1</v>
      </c>
      <c r="H318" s="11">
        <v>2.2999999999999998</v>
      </c>
      <c r="I318" s="11" t="str">
        <f>TEXT(Dataset[[#This Row],[Purchase_Date]],"[$-409]mmmm")</f>
        <v>May</v>
      </c>
      <c r="J318" s="12">
        <f>MONTH(Dataset[[#This Row],[Purchase_Date]])</f>
        <v>5</v>
      </c>
      <c r="K318" s="13" t="str">
        <f>TEXT(Dataset[[#This Row],[Purchase_Date]],"mm - [$-409]mmmm")</f>
        <v>05 - May</v>
      </c>
      <c r="L318" s="11">
        <f>IF(Dataset[[#This Row],[Purchase_Date]]="","",YEAR(Dataset[[#This Row],[Purchase_Date]]))</f>
        <v>2025</v>
      </c>
      <c r="M318" s="11" t="str" cm="1">
        <f t="array" ref="M318">_xlfn.IFS(B318&lt;=25, "Young Adults", B318&lt;=35, "Emerging Professionals", B318&lt;=50, "Established Adults", TRUE, "Mature Customers")</f>
        <v>Young Adults</v>
      </c>
      <c r="N318" s="11" t="str">
        <f>IF(Dataset[[#This Row],[Total_Spent (€)]]&lt;10,"Low Spender",IF(Dataset[[#This Row],[Total_Spent (€)]]&lt;25,"Medium Spender","High Spender"))</f>
        <v>Medium Spender</v>
      </c>
    </row>
    <row r="319" spans="1:14" x14ac:dyDescent="0.2">
      <c r="A319" s="14" t="s">
        <v>391</v>
      </c>
      <c r="B319" s="11">
        <v>41</v>
      </c>
      <c r="C319" s="11" t="s">
        <v>75</v>
      </c>
      <c r="D319" s="11"/>
      <c r="F319" s="11" t="s">
        <v>390</v>
      </c>
      <c r="G319" s="11">
        <v>0</v>
      </c>
      <c r="H319" s="11">
        <v>6.95</v>
      </c>
      <c r="I319" s="11" t="str">
        <f>TEXT(Dataset[[#This Row],[Purchase_Date]],"[$-409]mmmm")</f>
        <v>January</v>
      </c>
      <c r="J319" s="12">
        <f>MONTH(Dataset[[#This Row],[Purchase_Date]])</f>
        <v>1</v>
      </c>
      <c r="K319" s="13" t="str">
        <f>TEXT(Dataset[[#This Row],[Purchase_Date]],"mm - [$-409]mmmm")</f>
        <v>01 - January</v>
      </c>
      <c r="L319" s="11" t="str">
        <f>IF(Dataset[[#This Row],[Purchase_Date]]="","",YEAR(Dataset[[#This Row],[Purchase_Date]]))</f>
        <v/>
      </c>
      <c r="M319" s="11" t="str" cm="1">
        <f t="array" ref="M319">_xlfn.IFS(B319&lt;=25, "Young Adults", B319&lt;=35, "Emerging Professionals", B319&lt;=50, "Established Adults", TRUE, "Mature Customers")</f>
        <v>Established Adults</v>
      </c>
      <c r="N319" s="11" t="str">
        <f>IF(Dataset[[#This Row],[Total_Spent (€)]]&lt;10,"Low Spender",IF(Dataset[[#This Row],[Total_Spent (€)]]&lt;25,"Medium Spender","High Spender"))</f>
        <v>Low Spender</v>
      </c>
    </row>
    <row r="320" spans="1:14" x14ac:dyDescent="0.2">
      <c r="A320" s="14" t="s">
        <v>389</v>
      </c>
      <c r="B320" s="11">
        <v>30</v>
      </c>
      <c r="C320" s="11" t="s">
        <v>20</v>
      </c>
      <c r="D320" s="11">
        <v>22.78</v>
      </c>
      <c r="E320" s="11" t="s">
        <v>316</v>
      </c>
      <c r="F320" s="11" t="s">
        <v>149</v>
      </c>
      <c r="G320" s="11">
        <v>1</v>
      </c>
      <c r="H320" s="11">
        <v>8.84</v>
      </c>
      <c r="I320" s="11" t="str">
        <f>TEXT(Dataset[[#This Row],[Purchase_Date]],"[$-409]mmmm")</f>
        <v>February</v>
      </c>
      <c r="J320" s="12">
        <f>MONTH(Dataset[[#This Row],[Purchase_Date]])</f>
        <v>2</v>
      </c>
      <c r="K320" s="13" t="str">
        <f>TEXT(Dataset[[#This Row],[Purchase_Date]],"mm - [$-409]mmmm")</f>
        <v>02 - February</v>
      </c>
      <c r="L320" s="11">
        <f>IF(Dataset[[#This Row],[Purchase_Date]]="","",YEAR(Dataset[[#This Row],[Purchase_Date]]))</f>
        <v>2025</v>
      </c>
      <c r="M320" s="11" t="str" cm="1">
        <f t="array" ref="M320">_xlfn.IFS(B320&lt;=25, "Young Adults", B320&lt;=35, "Emerging Professionals", B320&lt;=50, "Established Adults", TRUE, "Mature Customers")</f>
        <v>Emerging Professionals</v>
      </c>
      <c r="N320" s="11" t="str">
        <f>IF(Dataset[[#This Row],[Total_Spent (€)]]&lt;10,"Low Spender",IF(Dataset[[#This Row],[Total_Spent (€)]]&lt;25,"Medium Spender","High Spender"))</f>
        <v>Medium Spender</v>
      </c>
    </row>
    <row r="321" spans="1:14" x14ac:dyDescent="0.2">
      <c r="A321" s="14" t="s">
        <v>388</v>
      </c>
      <c r="B321" s="11">
        <v>45</v>
      </c>
      <c r="C321" s="11" t="s">
        <v>17</v>
      </c>
      <c r="D321" s="11">
        <v>15.36</v>
      </c>
      <c r="E321" s="11" t="s">
        <v>125</v>
      </c>
      <c r="F321" s="11" t="s">
        <v>221</v>
      </c>
      <c r="G321" s="11">
        <v>1</v>
      </c>
      <c r="H321" s="11">
        <v>9.52</v>
      </c>
      <c r="I321" s="11" t="str">
        <f>TEXT(Dataset[[#This Row],[Purchase_Date]],"[$-409]mmmm")</f>
        <v>October</v>
      </c>
      <c r="J321" s="12">
        <f>MONTH(Dataset[[#This Row],[Purchase_Date]])</f>
        <v>10</v>
      </c>
      <c r="K321" s="13" t="str">
        <f>TEXT(Dataset[[#This Row],[Purchase_Date]],"mm - [$-409]mmmm")</f>
        <v>10 - October</v>
      </c>
      <c r="L321" s="11">
        <f>IF(Dataset[[#This Row],[Purchase_Date]]="","",YEAR(Dataset[[#This Row],[Purchase_Date]]))</f>
        <v>2024</v>
      </c>
      <c r="M321" s="11" t="str" cm="1">
        <f t="array" ref="M321">_xlfn.IFS(B321&lt;=25, "Young Adults", B321&lt;=35, "Emerging Professionals", B321&lt;=50, "Established Adults", TRUE, "Mature Customers")</f>
        <v>Established Adults</v>
      </c>
      <c r="N321" s="11" t="str">
        <f>IF(Dataset[[#This Row],[Total_Spent (€)]]&lt;10,"Low Spender",IF(Dataset[[#This Row],[Total_Spent (€)]]&lt;25,"Medium Spender","High Spender"))</f>
        <v>Medium Spender</v>
      </c>
    </row>
    <row r="322" spans="1:14" x14ac:dyDescent="0.2">
      <c r="A322" s="14" t="s">
        <v>387</v>
      </c>
      <c r="B322" s="11">
        <v>22</v>
      </c>
      <c r="C322" s="11" t="s">
        <v>9</v>
      </c>
      <c r="D322" s="11"/>
      <c r="F322" s="11" t="s">
        <v>386</v>
      </c>
      <c r="G322" s="11">
        <v>0</v>
      </c>
      <c r="H322" s="11">
        <v>4.07</v>
      </c>
      <c r="I322" s="11" t="str">
        <f>TEXT(Dataset[[#This Row],[Purchase_Date]],"[$-409]mmmm")</f>
        <v>January</v>
      </c>
      <c r="J322" s="12">
        <f>MONTH(Dataset[[#This Row],[Purchase_Date]])</f>
        <v>1</v>
      </c>
      <c r="K322" s="13" t="str">
        <f>TEXT(Dataset[[#This Row],[Purchase_Date]],"mm - [$-409]mmmm")</f>
        <v>01 - January</v>
      </c>
      <c r="L322" s="11" t="str">
        <f>IF(Dataset[[#This Row],[Purchase_Date]]="","",YEAR(Dataset[[#This Row],[Purchase_Date]]))</f>
        <v/>
      </c>
      <c r="M322" s="11" t="str" cm="1">
        <f t="array" ref="M322">_xlfn.IFS(B322&lt;=25, "Young Adults", B322&lt;=35, "Emerging Professionals", B322&lt;=50, "Established Adults", TRUE, "Mature Customers")</f>
        <v>Young Adults</v>
      </c>
      <c r="N322" s="11" t="str">
        <f>IF(Dataset[[#This Row],[Total_Spent (€)]]&lt;10,"Low Spender",IF(Dataset[[#This Row],[Total_Spent (€)]]&lt;25,"Medium Spender","High Spender"))</f>
        <v>Low Spender</v>
      </c>
    </row>
    <row r="323" spans="1:14" x14ac:dyDescent="0.2">
      <c r="A323" s="14" t="s">
        <v>385</v>
      </c>
      <c r="B323" s="11">
        <v>53</v>
      </c>
      <c r="C323" s="11" t="s">
        <v>841</v>
      </c>
      <c r="D323" s="11">
        <v>30.64</v>
      </c>
      <c r="E323" s="11" t="s">
        <v>384</v>
      </c>
      <c r="F323" s="11" t="s">
        <v>301</v>
      </c>
      <c r="G323" s="11">
        <v>1</v>
      </c>
      <c r="H323" s="11">
        <v>3.96</v>
      </c>
      <c r="I323" s="11" t="str">
        <f>TEXT(Dataset[[#This Row],[Purchase_Date]],"[$-409]mmmm")</f>
        <v>May</v>
      </c>
      <c r="J323" s="12">
        <f>MONTH(Dataset[[#This Row],[Purchase_Date]])</f>
        <v>5</v>
      </c>
      <c r="K323" s="13" t="str">
        <f>TEXT(Dataset[[#This Row],[Purchase_Date]],"mm - [$-409]mmmm")</f>
        <v>05 - May</v>
      </c>
      <c r="L323" s="11">
        <f>IF(Dataset[[#This Row],[Purchase_Date]]="","",YEAR(Dataset[[#This Row],[Purchase_Date]]))</f>
        <v>2025</v>
      </c>
      <c r="M323" s="11" t="str" cm="1">
        <f t="array" ref="M323">_xlfn.IFS(B323&lt;=25, "Young Adults", B323&lt;=35, "Emerging Professionals", B323&lt;=50, "Established Adults", TRUE, "Mature Customers")</f>
        <v>Mature Customers</v>
      </c>
      <c r="N323" s="11" t="str">
        <f>IF(Dataset[[#This Row],[Total_Spent (€)]]&lt;10,"Low Spender",IF(Dataset[[#This Row],[Total_Spent (€)]]&lt;25,"Medium Spender","High Spender"))</f>
        <v>High Spender</v>
      </c>
    </row>
    <row r="324" spans="1:14" x14ac:dyDescent="0.2">
      <c r="A324" s="14" t="s">
        <v>383</v>
      </c>
      <c r="B324" s="11">
        <v>48</v>
      </c>
      <c r="C324" s="11" t="s">
        <v>38</v>
      </c>
      <c r="D324" s="11"/>
      <c r="F324" s="11" t="s">
        <v>382</v>
      </c>
      <c r="G324" s="11">
        <v>0</v>
      </c>
      <c r="H324" s="11">
        <v>7.1</v>
      </c>
      <c r="I324" s="11" t="str">
        <f>TEXT(Dataset[[#This Row],[Purchase_Date]],"[$-409]mmmm")</f>
        <v>January</v>
      </c>
      <c r="J324" s="12">
        <f>MONTH(Dataset[[#This Row],[Purchase_Date]])</f>
        <v>1</v>
      </c>
      <c r="K324" s="13" t="str">
        <f>TEXT(Dataset[[#This Row],[Purchase_Date]],"mm - [$-409]mmmm")</f>
        <v>01 - January</v>
      </c>
      <c r="L324" s="11" t="str">
        <f>IF(Dataset[[#This Row],[Purchase_Date]]="","",YEAR(Dataset[[#This Row],[Purchase_Date]]))</f>
        <v/>
      </c>
      <c r="M324" s="11" t="str" cm="1">
        <f t="array" ref="M324">_xlfn.IFS(B324&lt;=25, "Young Adults", B324&lt;=35, "Emerging Professionals", B324&lt;=50, "Established Adults", TRUE, "Mature Customers")</f>
        <v>Established Adults</v>
      </c>
      <c r="N324" s="11" t="str">
        <f>IF(Dataset[[#This Row],[Total_Spent (€)]]&lt;10,"Low Spender",IF(Dataset[[#This Row],[Total_Spent (€)]]&lt;25,"Medium Spender","High Spender"))</f>
        <v>Low Spender</v>
      </c>
    </row>
    <row r="325" spans="1:14" x14ac:dyDescent="0.2">
      <c r="A325" s="14" t="s">
        <v>381</v>
      </c>
      <c r="B325" s="11">
        <v>21</v>
      </c>
      <c r="C325" s="11" t="s">
        <v>61</v>
      </c>
      <c r="D325" s="11"/>
      <c r="F325" s="11" t="s">
        <v>128</v>
      </c>
      <c r="G325" s="11">
        <v>0</v>
      </c>
      <c r="H325" s="11">
        <v>8.5399999999999991</v>
      </c>
      <c r="I325" s="11" t="str">
        <f>TEXT(Dataset[[#This Row],[Purchase_Date]],"[$-409]mmmm")</f>
        <v>January</v>
      </c>
      <c r="J325" s="12">
        <f>MONTH(Dataset[[#This Row],[Purchase_Date]])</f>
        <v>1</v>
      </c>
      <c r="K325" s="13" t="str">
        <f>TEXT(Dataset[[#This Row],[Purchase_Date]],"mm - [$-409]mmmm")</f>
        <v>01 - January</v>
      </c>
      <c r="L325" s="11" t="str">
        <f>IF(Dataset[[#This Row],[Purchase_Date]]="","",YEAR(Dataset[[#This Row],[Purchase_Date]]))</f>
        <v/>
      </c>
      <c r="M325" s="11" t="str" cm="1">
        <f t="array" ref="M325">_xlfn.IFS(B325&lt;=25, "Young Adults", B325&lt;=35, "Emerging Professionals", B325&lt;=50, "Established Adults", TRUE, "Mature Customers")</f>
        <v>Young Adults</v>
      </c>
      <c r="N325" s="11" t="str">
        <f>IF(Dataset[[#This Row],[Total_Spent (€)]]&lt;10,"Low Spender",IF(Dataset[[#This Row],[Total_Spent (€)]]&lt;25,"Medium Spender","High Spender"))</f>
        <v>Low Spender</v>
      </c>
    </row>
    <row r="326" spans="1:14" x14ac:dyDescent="0.2">
      <c r="A326" s="14" t="s">
        <v>380</v>
      </c>
      <c r="B326" s="11">
        <v>23</v>
      </c>
      <c r="C326" s="11" t="s">
        <v>841</v>
      </c>
      <c r="D326" s="11">
        <v>15.6</v>
      </c>
      <c r="E326" s="11" t="s">
        <v>379</v>
      </c>
      <c r="F326" s="11" t="s">
        <v>77</v>
      </c>
      <c r="G326" s="11">
        <v>1</v>
      </c>
      <c r="H326" s="11">
        <v>9.7100000000000009</v>
      </c>
      <c r="I326" s="11" t="str">
        <f>TEXT(Dataset[[#This Row],[Purchase_Date]],"[$-409]mmmm")</f>
        <v>October</v>
      </c>
      <c r="J326" s="12">
        <f>MONTH(Dataset[[#This Row],[Purchase_Date]])</f>
        <v>10</v>
      </c>
      <c r="K326" s="13" t="str">
        <f>TEXT(Dataset[[#This Row],[Purchase_Date]],"mm - [$-409]mmmm")</f>
        <v>10 - October</v>
      </c>
      <c r="L326" s="11">
        <f>IF(Dataset[[#This Row],[Purchase_Date]]="","",YEAR(Dataset[[#This Row],[Purchase_Date]]))</f>
        <v>2024</v>
      </c>
      <c r="M326" s="11" t="str" cm="1">
        <f t="array" ref="M326">_xlfn.IFS(B326&lt;=25, "Young Adults", B326&lt;=35, "Emerging Professionals", B326&lt;=50, "Established Adults", TRUE, "Mature Customers")</f>
        <v>Young Adults</v>
      </c>
      <c r="N326" s="11" t="str">
        <f>IF(Dataset[[#This Row],[Total_Spent (€)]]&lt;10,"Low Spender",IF(Dataset[[#This Row],[Total_Spent (€)]]&lt;25,"Medium Spender","High Spender"))</f>
        <v>Medium Spender</v>
      </c>
    </row>
    <row r="327" spans="1:14" x14ac:dyDescent="0.2">
      <c r="A327" s="14" t="s">
        <v>378</v>
      </c>
      <c r="B327" s="11">
        <v>47</v>
      </c>
      <c r="C327" s="11" t="s">
        <v>20</v>
      </c>
      <c r="D327" s="11"/>
      <c r="F327" s="11" t="s">
        <v>277</v>
      </c>
      <c r="G327" s="11">
        <v>0</v>
      </c>
      <c r="H327" s="11">
        <v>4.0599999999999996</v>
      </c>
      <c r="I327" s="11" t="str">
        <f>TEXT(Dataset[[#This Row],[Purchase_Date]],"[$-409]mmmm")</f>
        <v>January</v>
      </c>
      <c r="J327" s="12">
        <f>MONTH(Dataset[[#This Row],[Purchase_Date]])</f>
        <v>1</v>
      </c>
      <c r="K327" s="13" t="str">
        <f>TEXT(Dataset[[#This Row],[Purchase_Date]],"mm - [$-409]mmmm")</f>
        <v>01 - January</v>
      </c>
      <c r="L327" s="11" t="str">
        <f>IF(Dataset[[#This Row],[Purchase_Date]]="","",YEAR(Dataset[[#This Row],[Purchase_Date]]))</f>
        <v/>
      </c>
      <c r="M327" s="11" t="str" cm="1">
        <f t="array" ref="M327">_xlfn.IFS(B327&lt;=25, "Young Adults", B327&lt;=35, "Emerging Professionals", B327&lt;=50, "Established Adults", TRUE, "Mature Customers")</f>
        <v>Established Adults</v>
      </c>
      <c r="N327" s="11" t="str">
        <f>IF(Dataset[[#This Row],[Total_Spent (€)]]&lt;10,"Low Spender",IF(Dataset[[#This Row],[Total_Spent (€)]]&lt;25,"Medium Spender","High Spender"))</f>
        <v>Low Spender</v>
      </c>
    </row>
    <row r="328" spans="1:14" x14ac:dyDescent="0.2">
      <c r="A328" s="14" t="s">
        <v>377</v>
      </c>
      <c r="B328" s="11">
        <v>54</v>
      </c>
      <c r="C328" s="11" t="s">
        <v>30</v>
      </c>
      <c r="D328" s="11">
        <v>34.9</v>
      </c>
      <c r="E328" s="11" t="s">
        <v>376</v>
      </c>
      <c r="F328" s="11" t="s">
        <v>291</v>
      </c>
      <c r="G328" s="11">
        <v>1</v>
      </c>
      <c r="H328" s="11">
        <v>3.34</v>
      </c>
      <c r="I328" s="11" t="str">
        <f>TEXT(Dataset[[#This Row],[Purchase_Date]],"[$-409]mmmm")</f>
        <v>October</v>
      </c>
      <c r="J328" s="12">
        <f>MONTH(Dataset[[#This Row],[Purchase_Date]])</f>
        <v>10</v>
      </c>
      <c r="K328" s="13" t="str">
        <f>TEXT(Dataset[[#This Row],[Purchase_Date]],"mm - [$-409]mmmm")</f>
        <v>10 - October</v>
      </c>
      <c r="L328" s="11">
        <f>IF(Dataset[[#This Row],[Purchase_Date]]="","",YEAR(Dataset[[#This Row],[Purchase_Date]]))</f>
        <v>2024</v>
      </c>
      <c r="M328" s="11" t="str" cm="1">
        <f t="array" ref="M328">_xlfn.IFS(B328&lt;=25, "Young Adults", B328&lt;=35, "Emerging Professionals", B328&lt;=50, "Established Adults", TRUE, "Mature Customers")</f>
        <v>Mature Customers</v>
      </c>
      <c r="N328" s="11" t="str">
        <f>IF(Dataset[[#This Row],[Total_Spent (€)]]&lt;10,"Low Spender",IF(Dataset[[#This Row],[Total_Spent (€)]]&lt;25,"Medium Spender","High Spender"))</f>
        <v>High Spender</v>
      </c>
    </row>
    <row r="329" spans="1:14" x14ac:dyDescent="0.2">
      <c r="A329" s="14" t="s">
        <v>375</v>
      </c>
      <c r="B329" s="11">
        <v>42</v>
      </c>
      <c r="C329" s="11" t="s">
        <v>847</v>
      </c>
      <c r="D329" s="11">
        <v>27.72</v>
      </c>
      <c r="E329" s="11" t="s">
        <v>374</v>
      </c>
      <c r="F329" s="11" t="s">
        <v>373</v>
      </c>
      <c r="G329" s="11">
        <v>1</v>
      </c>
      <c r="H329" s="11">
        <v>9.23</v>
      </c>
      <c r="I329" s="11" t="str">
        <f>TEXT(Dataset[[#This Row],[Purchase_Date]],"[$-409]mmmm")</f>
        <v>August</v>
      </c>
      <c r="J329" s="12">
        <f>MONTH(Dataset[[#This Row],[Purchase_Date]])</f>
        <v>8</v>
      </c>
      <c r="K329" s="13" t="str">
        <f>TEXT(Dataset[[#This Row],[Purchase_Date]],"mm - [$-409]mmmm")</f>
        <v>08 - August</v>
      </c>
      <c r="L329" s="11">
        <f>IF(Dataset[[#This Row],[Purchase_Date]]="","",YEAR(Dataset[[#This Row],[Purchase_Date]]))</f>
        <v>2024</v>
      </c>
      <c r="M329" s="11" t="str" cm="1">
        <f t="array" ref="M329">_xlfn.IFS(B329&lt;=25, "Young Adults", B329&lt;=35, "Emerging Professionals", B329&lt;=50, "Established Adults", TRUE, "Mature Customers")</f>
        <v>Established Adults</v>
      </c>
      <c r="N329" s="11" t="str">
        <f>IF(Dataset[[#This Row],[Total_Spent (€)]]&lt;10,"Low Spender",IF(Dataset[[#This Row],[Total_Spent (€)]]&lt;25,"Medium Spender","High Spender"))</f>
        <v>High Spender</v>
      </c>
    </row>
    <row r="330" spans="1:14" x14ac:dyDescent="0.2">
      <c r="A330" s="14" t="s">
        <v>372</v>
      </c>
      <c r="B330" s="11">
        <v>48</v>
      </c>
      <c r="C330" s="11" t="s">
        <v>843</v>
      </c>
      <c r="D330" s="11"/>
      <c r="F330" s="11" t="s">
        <v>15</v>
      </c>
      <c r="G330" s="11">
        <v>0</v>
      </c>
      <c r="H330" s="11">
        <v>5.39</v>
      </c>
      <c r="I330" s="11" t="str">
        <f>TEXT(Dataset[[#This Row],[Purchase_Date]],"[$-409]mmmm")</f>
        <v>January</v>
      </c>
      <c r="J330" s="12">
        <f>MONTH(Dataset[[#This Row],[Purchase_Date]])</f>
        <v>1</v>
      </c>
      <c r="K330" s="13" t="str">
        <f>TEXT(Dataset[[#This Row],[Purchase_Date]],"mm - [$-409]mmmm")</f>
        <v>01 - January</v>
      </c>
      <c r="L330" s="11" t="str">
        <f>IF(Dataset[[#This Row],[Purchase_Date]]="","",YEAR(Dataset[[#This Row],[Purchase_Date]]))</f>
        <v/>
      </c>
      <c r="M330" s="11" t="str" cm="1">
        <f t="array" ref="M330">_xlfn.IFS(B330&lt;=25, "Young Adults", B330&lt;=35, "Emerging Professionals", B330&lt;=50, "Established Adults", TRUE, "Mature Customers")</f>
        <v>Established Adults</v>
      </c>
      <c r="N330" s="11" t="str">
        <f>IF(Dataset[[#This Row],[Total_Spent (€)]]&lt;10,"Low Spender",IF(Dataset[[#This Row],[Total_Spent (€)]]&lt;25,"Medium Spender","High Spender"))</f>
        <v>Low Spender</v>
      </c>
    </row>
    <row r="331" spans="1:14" x14ac:dyDescent="0.2">
      <c r="A331" s="14" t="s">
        <v>371</v>
      </c>
      <c r="B331" s="11">
        <v>39</v>
      </c>
      <c r="C331" s="11" t="s">
        <v>20</v>
      </c>
      <c r="D331" s="11">
        <v>19.59</v>
      </c>
      <c r="E331" s="11" t="s">
        <v>370</v>
      </c>
      <c r="F331" s="11" t="s">
        <v>369</v>
      </c>
      <c r="G331" s="11">
        <v>1</v>
      </c>
      <c r="H331" s="11">
        <v>2.5</v>
      </c>
      <c r="I331" s="11" t="str">
        <f>TEXT(Dataset[[#This Row],[Purchase_Date]],"[$-409]mmmm")</f>
        <v>May</v>
      </c>
      <c r="J331" s="12">
        <f>MONTH(Dataset[[#This Row],[Purchase_Date]])</f>
        <v>5</v>
      </c>
      <c r="K331" s="13" t="str">
        <f>TEXT(Dataset[[#This Row],[Purchase_Date]],"mm - [$-409]mmmm")</f>
        <v>05 - May</v>
      </c>
      <c r="L331" s="11">
        <f>IF(Dataset[[#This Row],[Purchase_Date]]="","",YEAR(Dataset[[#This Row],[Purchase_Date]]))</f>
        <v>2025</v>
      </c>
      <c r="M331" s="11" t="str" cm="1">
        <f t="array" ref="M331">_xlfn.IFS(B331&lt;=25, "Young Adults", B331&lt;=35, "Emerging Professionals", B331&lt;=50, "Established Adults", TRUE, "Mature Customers")</f>
        <v>Established Adults</v>
      </c>
      <c r="N331" s="11" t="str">
        <f>IF(Dataset[[#This Row],[Total_Spent (€)]]&lt;10,"Low Spender",IF(Dataset[[#This Row],[Total_Spent (€)]]&lt;25,"Medium Spender","High Spender"))</f>
        <v>Medium Spender</v>
      </c>
    </row>
    <row r="332" spans="1:14" x14ac:dyDescent="0.2">
      <c r="A332" s="14" t="s">
        <v>368</v>
      </c>
      <c r="B332" s="11">
        <v>52</v>
      </c>
      <c r="C332" s="11" t="s">
        <v>842</v>
      </c>
      <c r="D332" s="11">
        <v>10.86</v>
      </c>
      <c r="E332" s="11" t="s">
        <v>164</v>
      </c>
      <c r="F332" s="11" t="s">
        <v>367</v>
      </c>
      <c r="G332" s="11">
        <v>1</v>
      </c>
      <c r="H332" s="11">
        <v>9.0399999999999991</v>
      </c>
      <c r="I332" s="11" t="str">
        <f>TEXT(Dataset[[#This Row],[Purchase_Date]],"[$-409]mmmm")</f>
        <v>November</v>
      </c>
      <c r="J332" s="12">
        <f>MONTH(Dataset[[#This Row],[Purchase_Date]])</f>
        <v>11</v>
      </c>
      <c r="K332" s="13" t="str">
        <f>TEXT(Dataset[[#This Row],[Purchase_Date]],"mm - [$-409]mmmm")</f>
        <v>11 - November</v>
      </c>
      <c r="L332" s="11">
        <f>IF(Dataset[[#This Row],[Purchase_Date]]="","",YEAR(Dataset[[#This Row],[Purchase_Date]]))</f>
        <v>2024</v>
      </c>
      <c r="M332" s="11" t="str" cm="1">
        <f t="array" ref="M332">_xlfn.IFS(B332&lt;=25, "Young Adults", B332&lt;=35, "Emerging Professionals", B332&lt;=50, "Established Adults", TRUE, "Mature Customers")</f>
        <v>Mature Customers</v>
      </c>
      <c r="N332" s="11" t="str">
        <f>IF(Dataset[[#This Row],[Total_Spent (€)]]&lt;10,"Low Spender",IF(Dataset[[#This Row],[Total_Spent (€)]]&lt;25,"Medium Spender","High Spender"))</f>
        <v>Medium Spender</v>
      </c>
    </row>
    <row r="333" spans="1:14" x14ac:dyDescent="0.2">
      <c r="A333" s="14" t="s">
        <v>366</v>
      </c>
      <c r="B333" s="11">
        <v>45</v>
      </c>
      <c r="C333" s="11" t="s">
        <v>152</v>
      </c>
      <c r="D333" s="11"/>
      <c r="F333" s="11" t="s">
        <v>365</v>
      </c>
      <c r="G333" s="11">
        <v>0</v>
      </c>
      <c r="H333" s="11">
        <v>7.68</v>
      </c>
      <c r="I333" s="11" t="str">
        <f>TEXT(Dataset[[#This Row],[Purchase_Date]],"[$-409]mmmm")</f>
        <v>January</v>
      </c>
      <c r="J333" s="12">
        <f>MONTH(Dataset[[#This Row],[Purchase_Date]])</f>
        <v>1</v>
      </c>
      <c r="K333" s="13" t="str">
        <f>TEXT(Dataset[[#This Row],[Purchase_Date]],"mm - [$-409]mmmm")</f>
        <v>01 - January</v>
      </c>
      <c r="L333" s="11" t="str">
        <f>IF(Dataset[[#This Row],[Purchase_Date]]="","",YEAR(Dataset[[#This Row],[Purchase_Date]]))</f>
        <v/>
      </c>
      <c r="M333" s="11" t="str" cm="1">
        <f t="array" ref="M333">_xlfn.IFS(B333&lt;=25, "Young Adults", B333&lt;=35, "Emerging Professionals", B333&lt;=50, "Established Adults", TRUE, "Mature Customers")</f>
        <v>Established Adults</v>
      </c>
      <c r="N333" s="11" t="str">
        <f>IF(Dataset[[#This Row],[Total_Spent (€)]]&lt;10,"Low Spender",IF(Dataset[[#This Row],[Total_Spent (€)]]&lt;25,"Medium Spender","High Spender"))</f>
        <v>Low Spender</v>
      </c>
    </row>
    <row r="334" spans="1:14" x14ac:dyDescent="0.2">
      <c r="A334" s="14" t="s">
        <v>364</v>
      </c>
      <c r="B334" s="11">
        <v>42</v>
      </c>
      <c r="C334" s="11" t="s">
        <v>61</v>
      </c>
      <c r="D334" s="11">
        <v>13.59</v>
      </c>
      <c r="E334" s="11" t="s">
        <v>363</v>
      </c>
      <c r="F334" s="11" t="s">
        <v>258</v>
      </c>
      <c r="G334" s="11">
        <v>1</v>
      </c>
      <c r="H334" s="11">
        <v>5.35</v>
      </c>
      <c r="I334" s="11" t="str">
        <f>TEXT(Dataset[[#This Row],[Purchase_Date]],"[$-409]mmmm")</f>
        <v>July</v>
      </c>
      <c r="J334" s="12">
        <f>MONTH(Dataset[[#This Row],[Purchase_Date]])</f>
        <v>7</v>
      </c>
      <c r="K334" s="13" t="str">
        <f>TEXT(Dataset[[#This Row],[Purchase_Date]],"mm - [$-409]mmmm")</f>
        <v>07 - July</v>
      </c>
      <c r="L334" s="11">
        <f>IF(Dataset[[#This Row],[Purchase_Date]]="","",YEAR(Dataset[[#This Row],[Purchase_Date]]))</f>
        <v>2024</v>
      </c>
      <c r="M334" s="11" t="str" cm="1">
        <f t="array" ref="M334">_xlfn.IFS(B334&lt;=25, "Young Adults", B334&lt;=35, "Emerging Professionals", B334&lt;=50, "Established Adults", TRUE, "Mature Customers")</f>
        <v>Established Adults</v>
      </c>
      <c r="N334" s="11" t="str">
        <f>IF(Dataset[[#This Row],[Total_Spent (€)]]&lt;10,"Low Spender",IF(Dataset[[#This Row],[Total_Spent (€)]]&lt;25,"Medium Spender","High Spender"))</f>
        <v>Medium Spender</v>
      </c>
    </row>
    <row r="335" spans="1:14" x14ac:dyDescent="0.2">
      <c r="A335" s="14" t="s">
        <v>362</v>
      </c>
      <c r="B335" s="11">
        <v>50</v>
      </c>
      <c r="C335" s="11" t="s">
        <v>847</v>
      </c>
      <c r="D335" s="11">
        <v>38.99</v>
      </c>
      <c r="E335" s="11" t="s">
        <v>361</v>
      </c>
      <c r="F335" s="11" t="s">
        <v>360</v>
      </c>
      <c r="G335" s="11">
        <v>1</v>
      </c>
      <c r="H335" s="11">
        <v>6.49</v>
      </c>
      <c r="I335" s="11" t="str">
        <f>TEXT(Dataset[[#This Row],[Purchase_Date]],"[$-409]mmmm")</f>
        <v>February</v>
      </c>
      <c r="J335" s="12">
        <f>MONTH(Dataset[[#This Row],[Purchase_Date]])</f>
        <v>2</v>
      </c>
      <c r="K335" s="13" t="str">
        <f>TEXT(Dataset[[#This Row],[Purchase_Date]],"mm - [$-409]mmmm")</f>
        <v>02 - February</v>
      </c>
      <c r="L335" s="11">
        <f>IF(Dataset[[#This Row],[Purchase_Date]]="","",YEAR(Dataset[[#This Row],[Purchase_Date]]))</f>
        <v>2025</v>
      </c>
      <c r="M335" s="11" t="str" cm="1">
        <f t="array" ref="M335">_xlfn.IFS(B335&lt;=25, "Young Adults", B335&lt;=35, "Emerging Professionals", B335&lt;=50, "Established Adults", TRUE, "Mature Customers")</f>
        <v>Established Adults</v>
      </c>
      <c r="N335" s="11" t="str">
        <f>IF(Dataset[[#This Row],[Total_Spent (€)]]&lt;10,"Low Spender",IF(Dataset[[#This Row],[Total_Spent (€)]]&lt;25,"Medium Spender","High Spender"))</f>
        <v>High Spender</v>
      </c>
    </row>
    <row r="336" spans="1:14" x14ac:dyDescent="0.2">
      <c r="A336" s="14" t="s">
        <v>359</v>
      </c>
      <c r="B336" s="11">
        <v>32</v>
      </c>
      <c r="C336" s="11" t="s">
        <v>61</v>
      </c>
      <c r="D336" s="11"/>
      <c r="F336" s="11" t="s">
        <v>353</v>
      </c>
      <c r="G336" s="11">
        <v>0</v>
      </c>
      <c r="H336" s="11">
        <v>6.65</v>
      </c>
      <c r="I336" s="11" t="str">
        <f>TEXT(Dataset[[#This Row],[Purchase_Date]],"[$-409]mmmm")</f>
        <v>January</v>
      </c>
      <c r="J336" s="12">
        <f>MONTH(Dataset[[#This Row],[Purchase_Date]])</f>
        <v>1</v>
      </c>
      <c r="K336" s="13" t="str">
        <f>TEXT(Dataset[[#This Row],[Purchase_Date]],"mm - [$-409]mmmm")</f>
        <v>01 - January</v>
      </c>
      <c r="L336" s="11" t="str">
        <f>IF(Dataset[[#This Row],[Purchase_Date]]="","",YEAR(Dataset[[#This Row],[Purchase_Date]]))</f>
        <v/>
      </c>
      <c r="M336" s="11" t="str" cm="1">
        <f t="array" ref="M336">_xlfn.IFS(B336&lt;=25, "Young Adults", B336&lt;=35, "Emerging Professionals", B336&lt;=50, "Established Adults", TRUE, "Mature Customers")</f>
        <v>Emerging Professionals</v>
      </c>
      <c r="N336" s="11" t="str">
        <f>IF(Dataset[[#This Row],[Total_Spent (€)]]&lt;10,"Low Spender",IF(Dataset[[#This Row],[Total_Spent (€)]]&lt;25,"Medium Spender","High Spender"))</f>
        <v>Low Spender</v>
      </c>
    </row>
    <row r="337" spans="1:14" x14ac:dyDescent="0.2">
      <c r="A337" s="14" t="s">
        <v>358</v>
      </c>
      <c r="B337" s="11">
        <v>18</v>
      </c>
      <c r="C337" s="11" t="s">
        <v>9</v>
      </c>
      <c r="D337" s="11">
        <v>18.05</v>
      </c>
      <c r="E337" s="11" t="s">
        <v>244</v>
      </c>
      <c r="F337" s="11" t="s">
        <v>357</v>
      </c>
      <c r="G337" s="11">
        <v>1</v>
      </c>
      <c r="H337" s="11">
        <v>8.69</v>
      </c>
      <c r="I337" s="11" t="str">
        <f>TEXT(Dataset[[#This Row],[Purchase_Date]],"[$-409]mmmm")</f>
        <v>August</v>
      </c>
      <c r="J337" s="12">
        <f>MONTH(Dataset[[#This Row],[Purchase_Date]])</f>
        <v>8</v>
      </c>
      <c r="K337" s="13" t="str">
        <f>TEXT(Dataset[[#This Row],[Purchase_Date]],"mm - [$-409]mmmm")</f>
        <v>08 - August</v>
      </c>
      <c r="L337" s="11">
        <f>IF(Dataset[[#This Row],[Purchase_Date]]="","",YEAR(Dataset[[#This Row],[Purchase_Date]]))</f>
        <v>2024</v>
      </c>
      <c r="M337" s="11" t="str" cm="1">
        <f t="array" ref="M337">_xlfn.IFS(B337&lt;=25, "Young Adults", B337&lt;=35, "Emerging Professionals", B337&lt;=50, "Established Adults", TRUE, "Mature Customers")</f>
        <v>Young Adults</v>
      </c>
      <c r="N337" s="11" t="str">
        <f>IF(Dataset[[#This Row],[Total_Spent (€)]]&lt;10,"Low Spender",IF(Dataset[[#This Row],[Total_Spent (€)]]&lt;25,"Medium Spender","High Spender"))</f>
        <v>Medium Spender</v>
      </c>
    </row>
    <row r="338" spans="1:14" x14ac:dyDescent="0.2">
      <c r="A338" s="14" t="s">
        <v>356</v>
      </c>
      <c r="B338" s="11">
        <v>38</v>
      </c>
      <c r="C338" s="11" t="s">
        <v>846</v>
      </c>
      <c r="D338" s="11"/>
      <c r="F338" s="11" t="s">
        <v>355</v>
      </c>
      <c r="G338" s="11">
        <v>0</v>
      </c>
      <c r="H338" s="11">
        <v>9.27</v>
      </c>
      <c r="I338" s="11" t="str">
        <f>TEXT(Dataset[[#This Row],[Purchase_Date]],"[$-409]mmmm")</f>
        <v>January</v>
      </c>
      <c r="J338" s="12">
        <f>MONTH(Dataset[[#This Row],[Purchase_Date]])</f>
        <v>1</v>
      </c>
      <c r="K338" s="13" t="str">
        <f>TEXT(Dataset[[#This Row],[Purchase_Date]],"mm - [$-409]mmmm")</f>
        <v>01 - January</v>
      </c>
      <c r="L338" s="11" t="str">
        <f>IF(Dataset[[#This Row],[Purchase_Date]]="","",YEAR(Dataset[[#This Row],[Purchase_Date]]))</f>
        <v/>
      </c>
      <c r="M338" s="11" t="str" cm="1">
        <f t="array" ref="M338">_xlfn.IFS(B338&lt;=25, "Young Adults", B338&lt;=35, "Emerging Professionals", B338&lt;=50, "Established Adults", TRUE, "Mature Customers")</f>
        <v>Established Adults</v>
      </c>
      <c r="N338" s="11" t="str">
        <f>IF(Dataset[[#This Row],[Total_Spent (€)]]&lt;10,"Low Spender",IF(Dataset[[#This Row],[Total_Spent (€)]]&lt;25,"Medium Spender","High Spender"))</f>
        <v>Low Spender</v>
      </c>
    </row>
    <row r="339" spans="1:14" x14ac:dyDescent="0.2">
      <c r="A339" s="14" t="s">
        <v>354</v>
      </c>
      <c r="B339" s="11">
        <v>18</v>
      </c>
      <c r="C339" s="11" t="s">
        <v>846</v>
      </c>
      <c r="D339" s="11"/>
      <c r="F339" s="11" t="s">
        <v>353</v>
      </c>
      <c r="G339" s="11">
        <v>0</v>
      </c>
      <c r="H339" s="11">
        <v>7.04</v>
      </c>
      <c r="I339" s="11" t="str">
        <f>TEXT(Dataset[[#This Row],[Purchase_Date]],"[$-409]mmmm")</f>
        <v>January</v>
      </c>
      <c r="J339" s="12">
        <f>MONTH(Dataset[[#This Row],[Purchase_Date]])</f>
        <v>1</v>
      </c>
      <c r="K339" s="13" t="str">
        <f>TEXT(Dataset[[#This Row],[Purchase_Date]],"mm - [$-409]mmmm")</f>
        <v>01 - January</v>
      </c>
      <c r="L339" s="11" t="str">
        <f>IF(Dataset[[#This Row],[Purchase_Date]]="","",YEAR(Dataset[[#This Row],[Purchase_Date]]))</f>
        <v/>
      </c>
      <c r="M339" s="11" t="str" cm="1">
        <f t="array" ref="M339">_xlfn.IFS(B339&lt;=25, "Young Adults", B339&lt;=35, "Emerging Professionals", B339&lt;=50, "Established Adults", TRUE, "Mature Customers")</f>
        <v>Young Adults</v>
      </c>
      <c r="N339" s="11" t="str">
        <f>IF(Dataset[[#This Row],[Total_Spent (€)]]&lt;10,"Low Spender",IF(Dataset[[#This Row],[Total_Spent (€)]]&lt;25,"Medium Spender","High Spender"))</f>
        <v>Low Spender</v>
      </c>
    </row>
    <row r="340" spans="1:14" x14ac:dyDescent="0.2">
      <c r="A340" s="14" t="s">
        <v>352</v>
      </c>
      <c r="B340" s="11">
        <v>43</v>
      </c>
      <c r="C340" s="11" t="s">
        <v>847</v>
      </c>
      <c r="D340" s="11">
        <v>32.799999999999997</v>
      </c>
      <c r="E340" s="11" t="s">
        <v>351</v>
      </c>
      <c r="F340" s="11" t="s">
        <v>351</v>
      </c>
      <c r="G340" s="11">
        <v>1</v>
      </c>
      <c r="H340" s="11">
        <v>2.88</v>
      </c>
      <c r="I340" s="11" t="str">
        <f>TEXT(Dataset[[#This Row],[Purchase_Date]],"[$-409]mmmm")</f>
        <v>March</v>
      </c>
      <c r="J340" s="12">
        <f>MONTH(Dataset[[#This Row],[Purchase_Date]])</f>
        <v>3</v>
      </c>
      <c r="K340" s="13" t="str">
        <f>TEXT(Dataset[[#This Row],[Purchase_Date]],"mm - [$-409]mmmm")</f>
        <v>03 - March</v>
      </c>
      <c r="L340" s="11">
        <f>IF(Dataset[[#This Row],[Purchase_Date]]="","",YEAR(Dataset[[#This Row],[Purchase_Date]]))</f>
        <v>2025</v>
      </c>
      <c r="M340" s="11" t="str" cm="1">
        <f t="array" ref="M340">_xlfn.IFS(B340&lt;=25, "Young Adults", B340&lt;=35, "Emerging Professionals", B340&lt;=50, "Established Adults", TRUE, "Mature Customers")</f>
        <v>Established Adults</v>
      </c>
      <c r="N340" s="11" t="str">
        <f>IF(Dataset[[#This Row],[Total_Spent (€)]]&lt;10,"Low Spender",IF(Dataset[[#This Row],[Total_Spent (€)]]&lt;25,"Medium Spender","High Spender"))</f>
        <v>High Spender</v>
      </c>
    </row>
    <row r="341" spans="1:14" x14ac:dyDescent="0.2">
      <c r="A341" s="14" t="s">
        <v>350</v>
      </c>
      <c r="B341" s="11">
        <v>33</v>
      </c>
      <c r="C341" s="11" t="s">
        <v>5</v>
      </c>
      <c r="D341" s="11"/>
      <c r="F341" s="11" t="s">
        <v>349</v>
      </c>
      <c r="G341" s="11">
        <v>0</v>
      </c>
      <c r="H341" s="11">
        <v>7.16</v>
      </c>
      <c r="I341" s="11" t="str">
        <f>TEXT(Dataset[[#This Row],[Purchase_Date]],"[$-409]mmmm")</f>
        <v>January</v>
      </c>
      <c r="J341" s="12">
        <f>MONTH(Dataset[[#This Row],[Purchase_Date]])</f>
        <v>1</v>
      </c>
      <c r="K341" s="13" t="str">
        <f>TEXT(Dataset[[#This Row],[Purchase_Date]],"mm - [$-409]mmmm")</f>
        <v>01 - January</v>
      </c>
      <c r="L341" s="11" t="str">
        <f>IF(Dataset[[#This Row],[Purchase_Date]]="","",YEAR(Dataset[[#This Row],[Purchase_Date]]))</f>
        <v/>
      </c>
      <c r="M341" s="11" t="str" cm="1">
        <f t="array" ref="M341">_xlfn.IFS(B341&lt;=25, "Young Adults", B341&lt;=35, "Emerging Professionals", B341&lt;=50, "Established Adults", TRUE, "Mature Customers")</f>
        <v>Emerging Professionals</v>
      </c>
      <c r="N341" s="11" t="str">
        <f>IF(Dataset[[#This Row],[Total_Spent (€)]]&lt;10,"Low Spender",IF(Dataset[[#This Row],[Total_Spent (€)]]&lt;25,"Medium Spender","High Spender"))</f>
        <v>Low Spender</v>
      </c>
    </row>
    <row r="342" spans="1:14" x14ac:dyDescent="0.2">
      <c r="A342" s="14" t="s">
        <v>348</v>
      </c>
      <c r="B342" s="11">
        <v>47</v>
      </c>
      <c r="C342" s="11" t="s">
        <v>841</v>
      </c>
      <c r="D342" s="11">
        <v>30.75</v>
      </c>
      <c r="E342" s="11" t="s">
        <v>347</v>
      </c>
      <c r="F342" s="11" t="s">
        <v>339</v>
      </c>
      <c r="G342" s="11">
        <v>1</v>
      </c>
      <c r="H342" s="11">
        <v>2.5099999999999998</v>
      </c>
      <c r="I342" s="11" t="str">
        <f>TEXT(Dataset[[#This Row],[Purchase_Date]],"[$-409]mmmm")</f>
        <v>July</v>
      </c>
      <c r="J342" s="12">
        <f>MONTH(Dataset[[#This Row],[Purchase_Date]])</f>
        <v>7</v>
      </c>
      <c r="K342" s="13" t="str">
        <f>TEXT(Dataset[[#This Row],[Purchase_Date]],"mm - [$-409]mmmm")</f>
        <v>07 - July</v>
      </c>
      <c r="L342" s="11">
        <f>IF(Dataset[[#This Row],[Purchase_Date]]="","",YEAR(Dataset[[#This Row],[Purchase_Date]]))</f>
        <v>2024</v>
      </c>
      <c r="M342" s="11" t="str" cm="1">
        <f t="array" ref="M342">_xlfn.IFS(B342&lt;=25, "Young Adults", B342&lt;=35, "Emerging Professionals", B342&lt;=50, "Established Adults", TRUE, "Mature Customers")</f>
        <v>Established Adults</v>
      </c>
      <c r="N342" s="11" t="str">
        <f>IF(Dataset[[#This Row],[Total_Spent (€)]]&lt;10,"Low Spender",IF(Dataset[[#This Row],[Total_Spent (€)]]&lt;25,"Medium Spender","High Spender"))</f>
        <v>High Spender</v>
      </c>
    </row>
    <row r="343" spans="1:14" x14ac:dyDescent="0.2">
      <c r="A343" s="14" t="s">
        <v>346</v>
      </c>
      <c r="B343" s="11">
        <v>52</v>
      </c>
      <c r="C343" s="11" t="s">
        <v>30</v>
      </c>
      <c r="D343" s="11">
        <v>30.04</v>
      </c>
      <c r="E343" s="11" t="s">
        <v>345</v>
      </c>
      <c r="F343" s="11" t="s">
        <v>139</v>
      </c>
      <c r="G343" s="11">
        <v>1</v>
      </c>
      <c r="H343" s="11">
        <v>5.34</v>
      </c>
      <c r="I343" s="11" t="str">
        <f>TEXT(Dataset[[#This Row],[Purchase_Date]],"[$-409]mmmm")</f>
        <v>November</v>
      </c>
      <c r="J343" s="12">
        <f>MONTH(Dataset[[#This Row],[Purchase_Date]])</f>
        <v>11</v>
      </c>
      <c r="K343" s="13" t="str">
        <f>TEXT(Dataset[[#This Row],[Purchase_Date]],"mm - [$-409]mmmm")</f>
        <v>11 - November</v>
      </c>
      <c r="L343" s="11">
        <f>IF(Dataset[[#This Row],[Purchase_Date]]="","",YEAR(Dataset[[#This Row],[Purchase_Date]]))</f>
        <v>2024</v>
      </c>
      <c r="M343" s="11" t="str" cm="1">
        <f t="array" ref="M343">_xlfn.IFS(B343&lt;=25, "Young Adults", B343&lt;=35, "Emerging Professionals", B343&lt;=50, "Established Adults", TRUE, "Mature Customers")</f>
        <v>Mature Customers</v>
      </c>
      <c r="N343" s="11" t="str">
        <f>IF(Dataset[[#This Row],[Total_Spent (€)]]&lt;10,"Low Spender",IF(Dataset[[#This Row],[Total_Spent (€)]]&lt;25,"Medium Spender","High Spender"))</f>
        <v>High Spender</v>
      </c>
    </row>
    <row r="344" spans="1:14" x14ac:dyDescent="0.2">
      <c r="A344" s="14" t="s">
        <v>344</v>
      </c>
      <c r="B344" s="11">
        <v>45</v>
      </c>
      <c r="C344" s="11" t="s">
        <v>38</v>
      </c>
      <c r="D344" s="11">
        <v>24.36</v>
      </c>
      <c r="E344" s="11" t="s">
        <v>74</v>
      </c>
      <c r="F344" s="11" t="s">
        <v>74</v>
      </c>
      <c r="G344" s="11">
        <v>1</v>
      </c>
      <c r="H344" s="11">
        <v>2.04</v>
      </c>
      <c r="I344" s="11" t="str">
        <f>TEXT(Dataset[[#This Row],[Purchase_Date]],"[$-409]mmmm")</f>
        <v>January</v>
      </c>
      <c r="J344" s="12">
        <f>MONTH(Dataset[[#This Row],[Purchase_Date]])</f>
        <v>1</v>
      </c>
      <c r="K344" s="13" t="str">
        <f>TEXT(Dataset[[#This Row],[Purchase_Date]],"mm - [$-409]mmmm")</f>
        <v>01 - January</v>
      </c>
      <c r="L344" s="11">
        <f>IF(Dataset[[#This Row],[Purchase_Date]]="","",YEAR(Dataset[[#This Row],[Purchase_Date]]))</f>
        <v>2025</v>
      </c>
      <c r="M344" s="11" t="str" cm="1">
        <f t="array" ref="M344">_xlfn.IFS(B344&lt;=25, "Young Adults", B344&lt;=35, "Emerging Professionals", B344&lt;=50, "Established Adults", TRUE, "Mature Customers")</f>
        <v>Established Adults</v>
      </c>
      <c r="N344" s="11" t="str">
        <f>IF(Dataset[[#This Row],[Total_Spent (€)]]&lt;10,"Low Spender",IF(Dataset[[#This Row],[Total_Spent (€)]]&lt;25,"Medium Spender","High Spender"))</f>
        <v>Medium Spender</v>
      </c>
    </row>
    <row r="345" spans="1:14" x14ac:dyDescent="0.2">
      <c r="A345" s="14" t="s">
        <v>343</v>
      </c>
      <c r="B345" s="11">
        <v>51</v>
      </c>
      <c r="C345" s="11" t="s">
        <v>5</v>
      </c>
      <c r="D345" s="11"/>
      <c r="F345" s="11" t="s">
        <v>11</v>
      </c>
      <c r="G345" s="11">
        <v>0</v>
      </c>
      <c r="H345" s="11">
        <v>3.15</v>
      </c>
      <c r="I345" s="11" t="str">
        <f>TEXT(Dataset[[#This Row],[Purchase_Date]],"[$-409]mmmm")</f>
        <v>January</v>
      </c>
      <c r="J345" s="12">
        <f>MONTH(Dataset[[#This Row],[Purchase_Date]])</f>
        <v>1</v>
      </c>
      <c r="K345" s="13" t="str">
        <f>TEXT(Dataset[[#This Row],[Purchase_Date]],"mm - [$-409]mmmm")</f>
        <v>01 - January</v>
      </c>
      <c r="L345" s="11" t="str">
        <f>IF(Dataset[[#This Row],[Purchase_Date]]="","",YEAR(Dataset[[#This Row],[Purchase_Date]]))</f>
        <v/>
      </c>
      <c r="M345" s="11" t="str" cm="1">
        <f t="array" ref="M345">_xlfn.IFS(B345&lt;=25, "Young Adults", B345&lt;=35, "Emerging Professionals", B345&lt;=50, "Established Adults", TRUE, "Mature Customers")</f>
        <v>Mature Customers</v>
      </c>
      <c r="N345" s="11" t="str">
        <f>IF(Dataset[[#This Row],[Total_Spent (€)]]&lt;10,"Low Spender",IF(Dataset[[#This Row],[Total_Spent (€)]]&lt;25,"Medium Spender","High Spender"))</f>
        <v>Low Spender</v>
      </c>
    </row>
    <row r="346" spans="1:14" x14ac:dyDescent="0.2">
      <c r="A346" s="14" t="s">
        <v>342</v>
      </c>
      <c r="B346" s="11">
        <v>19</v>
      </c>
      <c r="C346" s="11" t="s">
        <v>845</v>
      </c>
      <c r="D346" s="11">
        <v>13.98</v>
      </c>
      <c r="E346" s="11" t="s">
        <v>341</v>
      </c>
      <c r="F346" s="11" t="s">
        <v>162</v>
      </c>
      <c r="G346" s="11">
        <v>1</v>
      </c>
      <c r="H346" s="11">
        <v>2.23</v>
      </c>
      <c r="I346" s="11" t="str">
        <f>TEXT(Dataset[[#This Row],[Purchase_Date]],"[$-409]mmmm")</f>
        <v>January</v>
      </c>
      <c r="J346" s="12">
        <f>MONTH(Dataset[[#This Row],[Purchase_Date]])</f>
        <v>1</v>
      </c>
      <c r="K346" s="13" t="str">
        <f>TEXT(Dataset[[#This Row],[Purchase_Date]],"mm - [$-409]mmmm")</f>
        <v>01 - January</v>
      </c>
      <c r="L346" s="11">
        <f>IF(Dataset[[#This Row],[Purchase_Date]]="","",YEAR(Dataset[[#This Row],[Purchase_Date]]))</f>
        <v>2025</v>
      </c>
      <c r="M346" s="11" t="str" cm="1">
        <f t="array" ref="M346">_xlfn.IFS(B346&lt;=25, "Young Adults", B346&lt;=35, "Emerging Professionals", B346&lt;=50, "Established Adults", TRUE, "Mature Customers")</f>
        <v>Young Adults</v>
      </c>
      <c r="N346" s="11" t="str">
        <f>IF(Dataset[[#This Row],[Total_Spent (€)]]&lt;10,"Low Spender",IF(Dataset[[#This Row],[Total_Spent (€)]]&lt;25,"Medium Spender","High Spender"))</f>
        <v>Medium Spender</v>
      </c>
    </row>
    <row r="347" spans="1:14" x14ac:dyDescent="0.2">
      <c r="A347" s="14" t="s">
        <v>340</v>
      </c>
      <c r="B347" s="11">
        <v>32</v>
      </c>
      <c r="C347" s="11" t="s">
        <v>61</v>
      </c>
      <c r="D347" s="11"/>
      <c r="F347" s="11" t="s">
        <v>339</v>
      </c>
      <c r="G347" s="11">
        <v>0</v>
      </c>
      <c r="H347" s="11">
        <v>5.22</v>
      </c>
      <c r="I347" s="11" t="str">
        <f>TEXT(Dataset[[#This Row],[Purchase_Date]],"[$-409]mmmm")</f>
        <v>January</v>
      </c>
      <c r="J347" s="12">
        <f>MONTH(Dataset[[#This Row],[Purchase_Date]])</f>
        <v>1</v>
      </c>
      <c r="K347" s="13" t="str">
        <f>TEXT(Dataset[[#This Row],[Purchase_Date]],"mm - [$-409]mmmm")</f>
        <v>01 - January</v>
      </c>
      <c r="L347" s="11" t="str">
        <f>IF(Dataset[[#This Row],[Purchase_Date]]="","",YEAR(Dataset[[#This Row],[Purchase_Date]]))</f>
        <v/>
      </c>
      <c r="M347" s="11" t="str" cm="1">
        <f t="array" ref="M347">_xlfn.IFS(B347&lt;=25, "Young Adults", B347&lt;=35, "Emerging Professionals", B347&lt;=50, "Established Adults", TRUE, "Mature Customers")</f>
        <v>Emerging Professionals</v>
      </c>
      <c r="N347" s="11" t="str">
        <f>IF(Dataset[[#This Row],[Total_Spent (€)]]&lt;10,"Low Spender",IF(Dataset[[#This Row],[Total_Spent (€)]]&lt;25,"Medium Spender","High Spender"))</f>
        <v>Low Spender</v>
      </c>
    </row>
    <row r="348" spans="1:14" x14ac:dyDescent="0.2">
      <c r="A348" s="14" t="s">
        <v>338</v>
      </c>
      <c r="B348" s="11">
        <v>27</v>
      </c>
      <c r="C348" s="11" t="s">
        <v>846</v>
      </c>
      <c r="D348" s="11">
        <v>19.670000000000002</v>
      </c>
      <c r="E348" s="11" t="s">
        <v>337</v>
      </c>
      <c r="F348" s="11" t="s">
        <v>336</v>
      </c>
      <c r="G348" s="11">
        <v>1</v>
      </c>
      <c r="H348" s="11">
        <v>8.5399999999999991</v>
      </c>
      <c r="I348" s="11" t="str">
        <f>TEXT(Dataset[[#This Row],[Purchase_Date]],"[$-409]mmmm")</f>
        <v>February</v>
      </c>
      <c r="J348" s="12">
        <f>MONTH(Dataset[[#This Row],[Purchase_Date]])</f>
        <v>2</v>
      </c>
      <c r="K348" s="13" t="str">
        <f>TEXT(Dataset[[#This Row],[Purchase_Date]],"mm - [$-409]mmmm")</f>
        <v>02 - February</v>
      </c>
      <c r="L348" s="11">
        <f>IF(Dataset[[#This Row],[Purchase_Date]]="","",YEAR(Dataset[[#This Row],[Purchase_Date]]))</f>
        <v>2025</v>
      </c>
      <c r="M348" s="11" t="str" cm="1">
        <f t="array" ref="M348">_xlfn.IFS(B348&lt;=25, "Young Adults", B348&lt;=35, "Emerging Professionals", B348&lt;=50, "Established Adults", TRUE, "Mature Customers")</f>
        <v>Emerging Professionals</v>
      </c>
      <c r="N348" s="11" t="str">
        <f>IF(Dataset[[#This Row],[Total_Spent (€)]]&lt;10,"Low Spender",IF(Dataset[[#This Row],[Total_Spent (€)]]&lt;25,"Medium Spender","High Spender"))</f>
        <v>Medium Spender</v>
      </c>
    </row>
    <row r="349" spans="1:14" x14ac:dyDescent="0.2">
      <c r="A349" s="14" t="s">
        <v>335</v>
      </c>
      <c r="B349" s="11">
        <v>31</v>
      </c>
      <c r="C349" s="11" t="s">
        <v>844</v>
      </c>
      <c r="D349" s="11"/>
      <c r="F349" s="11" t="s">
        <v>334</v>
      </c>
      <c r="G349" s="11">
        <v>0</v>
      </c>
      <c r="H349" s="11">
        <v>2.1</v>
      </c>
      <c r="I349" s="11" t="str">
        <f>TEXT(Dataset[[#This Row],[Purchase_Date]],"[$-409]mmmm")</f>
        <v>January</v>
      </c>
      <c r="J349" s="12">
        <f>MONTH(Dataset[[#This Row],[Purchase_Date]])</f>
        <v>1</v>
      </c>
      <c r="K349" s="13" t="str">
        <f>TEXT(Dataset[[#This Row],[Purchase_Date]],"mm - [$-409]mmmm")</f>
        <v>01 - January</v>
      </c>
      <c r="L349" s="11" t="str">
        <f>IF(Dataset[[#This Row],[Purchase_Date]]="","",YEAR(Dataset[[#This Row],[Purchase_Date]]))</f>
        <v/>
      </c>
      <c r="M349" s="11" t="str" cm="1">
        <f t="array" ref="M349">_xlfn.IFS(B349&lt;=25, "Young Adults", B349&lt;=35, "Emerging Professionals", B349&lt;=50, "Established Adults", TRUE, "Mature Customers")</f>
        <v>Emerging Professionals</v>
      </c>
      <c r="N349" s="11" t="str">
        <f>IF(Dataset[[#This Row],[Total_Spent (€)]]&lt;10,"Low Spender",IF(Dataset[[#This Row],[Total_Spent (€)]]&lt;25,"Medium Spender","High Spender"))</f>
        <v>Low Spender</v>
      </c>
    </row>
    <row r="350" spans="1:14" x14ac:dyDescent="0.2">
      <c r="A350" s="14" t="s">
        <v>333</v>
      </c>
      <c r="B350" s="11">
        <v>46</v>
      </c>
      <c r="C350" s="11" t="s">
        <v>152</v>
      </c>
      <c r="D350" s="11">
        <v>36.590000000000003</v>
      </c>
      <c r="E350" s="11" t="s">
        <v>144</v>
      </c>
      <c r="F350" s="11" t="s">
        <v>106</v>
      </c>
      <c r="G350" s="11">
        <v>1</v>
      </c>
      <c r="H350" s="11">
        <v>6.25</v>
      </c>
      <c r="I350" s="11" t="str">
        <f>TEXT(Dataset[[#This Row],[Purchase_Date]],"[$-409]mmmm")</f>
        <v>April</v>
      </c>
      <c r="J350" s="12">
        <f>MONTH(Dataset[[#This Row],[Purchase_Date]])</f>
        <v>4</v>
      </c>
      <c r="K350" s="13" t="str">
        <f>TEXT(Dataset[[#This Row],[Purchase_Date]],"mm - [$-409]mmmm")</f>
        <v>04 - April</v>
      </c>
      <c r="L350" s="11">
        <f>IF(Dataset[[#This Row],[Purchase_Date]]="","",YEAR(Dataset[[#This Row],[Purchase_Date]]))</f>
        <v>2025</v>
      </c>
      <c r="M350" s="11" t="str" cm="1">
        <f t="array" ref="M350">_xlfn.IFS(B350&lt;=25, "Young Adults", B350&lt;=35, "Emerging Professionals", B350&lt;=50, "Established Adults", TRUE, "Mature Customers")</f>
        <v>Established Adults</v>
      </c>
      <c r="N350" s="11" t="str">
        <f>IF(Dataset[[#This Row],[Total_Spent (€)]]&lt;10,"Low Spender",IF(Dataset[[#This Row],[Total_Spent (€)]]&lt;25,"Medium Spender","High Spender"))</f>
        <v>High Spender</v>
      </c>
    </row>
    <row r="351" spans="1:14" x14ac:dyDescent="0.2">
      <c r="A351" s="14" t="s">
        <v>332</v>
      </c>
      <c r="B351" s="11">
        <v>32</v>
      </c>
      <c r="C351" s="11" t="s">
        <v>840</v>
      </c>
      <c r="D351" s="11"/>
      <c r="F351" s="11" t="s">
        <v>297</v>
      </c>
      <c r="G351" s="11">
        <v>0</v>
      </c>
      <c r="H351" s="11">
        <v>9.16</v>
      </c>
      <c r="I351" s="11" t="str">
        <f>TEXT(Dataset[[#This Row],[Purchase_Date]],"[$-409]mmmm")</f>
        <v>January</v>
      </c>
      <c r="J351" s="12">
        <f>MONTH(Dataset[[#This Row],[Purchase_Date]])</f>
        <v>1</v>
      </c>
      <c r="K351" s="13" t="str">
        <f>TEXT(Dataset[[#This Row],[Purchase_Date]],"mm - [$-409]mmmm")</f>
        <v>01 - January</v>
      </c>
      <c r="L351" s="11" t="str">
        <f>IF(Dataset[[#This Row],[Purchase_Date]]="","",YEAR(Dataset[[#This Row],[Purchase_Date]]))</f>
        <v/>
      </c>
      <c r="M351" s="11" t="str" cm="1">
        <f t="array" ref="M351">_xlfn.IFS(B351&lt;=25, "Young Adults", B351&lt;=35, "Emerging Professionals", B351&lt;=50, "Established Adults", TRUE, "Mature Customers")</f>
        <v>Emerging Professionals</v>
      </c>
      <c r="N351" s="11" t="str">
        <f>IF(Dataset[[#This Row],[Total_Spent (€)]]&lt;10,"Low Spender",IF(Dataset[[#This Row],[Total_Spent (€)]]&lt;25,"Medium Spender","High Spender"))</f>
        <v>Low Spender</v>
      </c>
    </row>
    <row r="352" spans="1:14" x14ac:dyDescent="0.2">
      <c r="A352" s="14" t="s">
        <v>331</v>
      </c>
      <c r="B352" s="11">
        <v>37</v>
      </c>
      <c r="C352" s="11" t="s">
        <v>5</v>
      </c>
      <c r="D352" s="11">
        <v>8.99</v>
      </c>
      <c r="E352" s="11" t="s">
        <v>16</v>
      </c>
      <c r="F352" s="11" t="s">
        <v>330</v>
      </c>
      <c r="G352" s="11">
        <v>1</v>
      </c>
      <c r="H352" s="11">
        <v>8.09</v>
      </c>
      <c r="I352" s="11" t="str">
        <f>TEXT(Dataset[[#This Row],[Purchase_Date]],"[$-409]mmmm")</f>
        <v>May</v>
      </c>
      <c r="J352" s="12">
        <f>MONTH(Dataset[[#This Row],[Purchase_Date]])</f>
        <v>5</v>
      </c>
      <c r="K352" s="13" t="str">
        <f>TEXT(Dataset[[#This Row],[Purchase_Date]],"mm - [$-409]mmmm")</f>
        <v>05 - May</v>
      </c>
      <c r="L352" s="11">
        <f>IF(Dataset[[#This Row],[Purchase_Date]]="","",YEAR(Dataset[[#This Row],[Purchase_Date]]))</f>
        <v>2025</v>
      </c>
      <c r="M352" s="11" t="str" cm="1">
        <f t="array" ref="M352">_xlfn.IFS(B352&lt;=25, "Young Adults", B352&lt;=35, "Emerging Professionals", B352&lt;=50, "Established Adults", TRUE, "Mature Customers")</f>
        <v>Established Adults</v>
      </c>
      <c r="N352" s="11" t="str">
        <f>IF(Dataset[[#This Row],[Total_Spent (€)]]&lt;10,"Low Spender",IF(Dataset[[#This Row],[Total_Spent (€)]]&lt;25,"Medium Spender","High Spender"))</f>
        <v>Low Spender</v>
      </c>
    </row>
    <row r="353" spans="1:14" x14ac:dyDescent="0.2">
      <c r="A353" s="14" t="s">
        <v>329</v>
      </c>
      <c r="B353" s="11">
        <v>19</v>
      </c>
      <c r="C353" s="11" t="s">
        <v>20</v>
      </c>
      <c r="D353" s="11"/>
      <c r="F353" s="11" t="s">
        <v>328</v>
      </c>
      <c r="G353" s="11">
        <v>0</v>
      </c>
      <c r="H353" s="11">
        <v>3.14</v>
      </c>
      <c r="I353" s="11" t="str">
        <f>TEXT(Dataset[[#This Row],[Purchase_Date]],"[$-409]mmmm")</f>
        <v>January</v>
      </c>
      <c r="J353" s="12">
        <f>MONTH(Dataset[[#This Row],[Purchase_Date]])</f>
        <v>1</v>
      </c>
      <c r="K353" s="13" t="str">
        <f>TEXT(Dataset[[#This Row],[Purchase_Date]],"mm - [$-409]mmmm")</f>
        <v>01 - January</v>
      </c>
      <c r="L353" s="11" t="str">
        <f>IF(Dataset[[#This Row],[Purchase_Date]]="","",YEAR(Dataset[[#This Row],[Purchase_Date]]))</f>
        <v/>
      </c>
      <c r="M353" s="11" t="str" cm="1">
        <f t="array" ref="M353">_xlfn.IFS(B353&lt;=25, "Young Adults", B353&lt;=35, "Emerging Professionals", B353&lt;=50, "Established Adults", TRUE, "Mature Customers")</f>
        <v>Young Adults</v>
      </c>
      <c r="N353" s="11" t="str">
        <f>IF(Dataset[[#This Row],[Total_Spent (€)]]&lt;10,"Low Spender",IF(Dataset[[#This Row],[Total_Spent (€)]]&lt;25,"Medium Spender","High Spender"))</f>
        <v>Low Spender</v>
      </c>
    </row>
    <row r="354" spans="1:14" x14ac:dyDescent="0.2">
      <c r="A354" s="14" t="s">
        <v>327</v>
      </c>
      <c r="B354" s="11">
        <v>40</v>
      </c>
      <c r="C354" s="11" t="s">
        <v>5</v>
      </c>
      <c r="D354" s="11"/>
      <c r="F354" s="11" t="s">
        <v>326</v>
      </c>
      <c r="G354" s="11">
        <v>0</v>
      </c>
      <c r="H354" s="11">
        <v>4.5599999999999996</v>
      </c>
      <c r="I354" s="11" t="str">
        <f>TEXT(Dataset[[#This Row],[Purchase_Date]],"[$-409]mmmm")</f>
        <v>January</v>
      </c>
      <c r="J354" s="12">
        <f>MONTH(Dataset[[#This Row],[Purchase_Date]])</f>
        <v>1</v>
      </c>
      <c r="K354" s="13" t="str">
        <f>TEXT(Dataset[[#This Row],[Purchase_Date]],"mm - [$-409]mmmm")</f>
        <v>01 - January</v>
      </c>
      <c r="L354" s="11" t="str">
        <f>IF(Dataset[[#This Row],[Purchase_Date]]="","",YEAR(Dataset[[#This Row],[Purchase_Date]]))</f>
        <v/>
      </c>
      <c r="M354" s="11" t="str" cm="1">
        <f t="array" ref="M354">_xlfn.IFS(B354&lt;=25, "Young Adults", B354&lt;=35, "Emerging Professionals", B354&lt;=50, "Established Adults", TRUE, "Mature Customers")</f>
        <v>Established Adults</v>
      </c>
      <c r="N354" s="11" t="str">
        <f>IF(Dataset[[#This Row],[Total_Spent (€)]]&lt;10,"Low Spender",IF(Dataset[[#This Row],[Total_Spent (€)]]&lt;25,"Medium Spender","High Spender"))</f>
        <v>Low Spender</v>
      </c>
    </row>
    <row r="355" spans="1:14" x14ac:dyDescent="0.2">
      <c r="A355" s="14" t="s">
        <v>325</v>
      </c>
      <c r="B355" s="11">
        <v>53</v>
      </c>
      <c r="C355" s="11" t="s">
        <v>843</v>
      </c>
      <c r="D355" s="11">
        <v>16.54</v>
      </c>
      <c r="E355" s="11" t="s">
        <v>324</v>
      </c>
      <c r="F355" s="11" t="s">
        <v>276</v>
      </c>
      <c r="G355" s="11">
        <v>1</v>
      </c>
      <c r="H355" s="11">
        <v>7.84</v>
      </c>
      <c r="I355" s="11" t="str">
        <f>TEXT(Dataset[[#This Row],[Purchase_Date]],"[$-409]mmmm")</f>
        <v>June</v>
      </c>
      <c r="J355" s="12">
        <f>MONTH(Dataset[[#This Row],[Purchase_Date]])</f>
        <v>6</v>
      </c>
      <c r="K355" s="13" t="str">
        <f>TEXT(Dataset[[#This Row],[Purchase_Date]],"mm - [$-409]mmmm")</f>
        <v>06 - June</v>
      </c>
      <c r="L355" s="11">
        <f>IF(Dataset[[#This Row],[Purchase_Date]]="","",YEAR(Dataset[[#This Row],[Purchase_Date]]))</f>
        <v>2024</v>
      </c>
      <c r="M355" s="11" t="str" cm="1">
        <f t="array" ref="M355">_xlfn.IFS(B355&lt;=25, "Young Adults", B355&lt;=35, "Emerging Professionals", B355&lt;=50, "Established Adults", TRUE, "Mature Customers")</f>
        <v>Mature Customers</v>
      </c>
      <c r="N355" s="11" t="str">
        <f>IF(Dataset[[#This Row],[Total_Spent (€)]]&lt;10,"Low Spender",IF(Dataset[[#This Row],[Total_Spent (€)]]&lt;25,"Medium Spender","High Spender"))</f>
        <v>Medium Spender</v>
      </c>
    </row>
    <row r="356" spans="1:14" x14ac:dyDescent="0.2">
      <c r="A356" s="14" t="s">
        <v>323</v>
      </c>
      <c r="B356" s="11">
        <v>35</v>
      </c>
      <c r="C356" s="11" t="s">
        <v>20</v>
      </c>
      <c r="D356" s="11">
        <v>16.149999999999999</v>
      </c>
      <c r="E356" s="11" t="s">
        <v>212</v>
      </c>
      <c r="F356" s="11" t="s">
        <v>322</v>
      </c>
      <c r="G356" s="11">
        <v>1</v>
      </c>
      <c r="H356" s="11">
        <v>8.1</v>
      </c>
      <c r="I356" s="11" t="str">
        <f>TEXT(Dataset[[#This Row],[Purchase_Date]],"[$-409]mmmm")</f>
        <v>September</v>
      </c>
      <c r="J356" s="12">
        <f>MONTH(Dataset[[#This Row],[Purchase_Date]])</f>
        <v>9</v>
      </c>
      <c r="K356" s="13" t="str">
        <f>TEXT(Dataset[[#This Row],[Purchase_Date]],"mm - [$-409]mmmm")</f>
        <v>09 - September</v>
      </c>
      <c r="L356" s="11">
        <f>IF(Dataset[[#This Row],[Purchase_Date]]="","",YEAR(Dataset[[#This Row],[Purchase_Date]]))</f>
        <v>2024</v>
      </c>
      <c r="M356" s="11" t="str" cm="1">
        <f t="array" ref="M356">_xlfn.IFS(B356&lt;=25, "Young Adults", B356&lt;=35, "Emerging Professionals", B356&lt;=50, "Established Adults", TRUE, "Mature Customers")</f>
        <v>Emerging Professionals</v>
      </c>
      <c r="N356" s="11" t="str">
        <f>IF(Dataset[[#This Row],[Total_Spent (€)]]&lt;10,"Low Spender",IF(Dataset[[#This Row],[Total_Spent (€)]]&lt;25,"Medium Spender","High Spender"))</f>
        <v>Medium Spender</v>
      </c>
    </row>
    <row r="357" spans="1:14" x14ac:dyDescent="0.2">
      <c r="A357" s="14" t="s">
        <v>321</v>
      </c>
      <c r="B357" s="11">
        <v>32</v>
      </c>
      <c r="C357" s="11" t="s">
        <v>86</v>
      </c>
      <c r="D357" s="11"/>
      <c r="F357" s="11" t="s">
        <v>320</v>
      </c>
      <c r="G357" s="11">
        <v>0</v>
      </c>
      <c r="H357" s="11">
        <v>3.84</v>
      </c>
      <c r="I357" s="11" t="str">
        <f>TEXT(Dataset[[#This Row],[Purchase_Date]],"[$-409]mmmm")</f>
        <v>January</v>
      </c>
      <c r="J357" s="12">
        <f>MONTH(Dataset[[#This Row],[Purchase_Date]])</f>
        <v>1</v>
      </c>
      <c r="K357" s="13" t="str">
        <f>TEXT(Dataset[[#This Row],[Purchase_Date]],"mm - [$-409]mmmm")</f>
        <v>01 - January</v>
      </c>
      <c r="L357" s="11" t="str">
        <f>IF(Dataset[[#This Row],[Purchase_Date]]="","",YEAR(Dataset[[#This Row],[Purchase_Date]]))</f>
        <v/>
      </c>
      <c r="M357" s="11" t="str" cm="1">
        <f t="array" ref="M357">_xlfn.IFS(B357&lt;=25, "Young Adults", B357&lt;=35, "Emerging Professionals", B357&lt;=50, "Established Adults", TRUE, "Mature Customers")</f>
        <v>Emerging Professionals</v>
      </c>
      <c r="N357" s="11" t="str">
        <f>IF(Dataset[[#This Row],[Total_Spent (€)]]&lt;10,"Low Spender",IF(Dataset[[#This Row],[Total_Spent (€)]]&lt;25,"Medium Spender","High Spender"))</f>
        <v>Low Spender</v>
      </c>
    </row>
    <row r="358" spans="1:14" x14ac:dyDescent="0.2">
      <c r="A358" s="14" t="s">
        <v>319</v>
      </c>
      <c r="B358" s="11">
        <v>48</v>
      </c>
      <c r="C358" s="11" t="s">
        <v>38</v>
      </c>
      <c r="D358" s="11">
        <v>20.46</v>
      </c>
      <c r="E358" s="11" t="s">
        <v>318</v>
      </c>
      <c r="F358" s="11" t="s">
        <v>190</v>
      </c>
      <c r="G358" s="11">
        <v>1</v>
      </c>
      <c r="H358" s="11">
        <v>6.97</v>
      </c>
      <c r="I358" s="11" t="str">
        <f>TEXT(Dataset[[#This Row],[Purchase_Date]],"[$-409]mmmm")</f>
        <v>September</v>
      </c>
      <c r="J358" s="12">
        <f>MONTH(Dataset[[#This Row],[Purchase_Date]])</f>
        <v>9</v>
      </c>
      <c r="K358" s="13" t="str">
        <f>TEXT(Dataset[[#This Row],[Purchase_Date]],"mm - [$-409]mmmm")</f>
        <v>09 - September</v>
      </c>
      <c r="L358" s="11">
        <f>IF(Dataset[[#This Row],[Purchase_Date]]="","",YEAR(Dataset[[#This Row],[Purchase_Date]]))</f>
        <v>2024</v>
      </c>
      <c r="M358" s="11" t="str" cm="1">
        <f t="array" ref="M358">_xlfn.IFS(B358&lt;=25, "Young Adults", B358&lt;=35, "Emerging Professionals", B358&lt;=50, "Established Adults", TRUE, "Mature Customers")</f>
        <v>Established Adults</v>
      </c>
      <c r="N358" s="11" t="str">
        <f>IF(Dataset[[#This Row],[Total_Spent (€)]]&lt;10,"Low Spender",IF(Dataset[[#This Row],[Total_Spent (€)]]&lt;25,"Medium Spender","High Spender"))</f>
        <v>Medium Spender</v>
      </c>
    </row>
    <row r="359" spans="1:14" x14ac:dyDescent="0.2">
      <c r="A359" s="14" t="s">
        <v>317</v>
      </c>
      <c r="B359" s="11">
        <v>39</v>
      </c>
      <c r="C359" s="11" t="s">
        <v>61</v>
      </c>
      <c r="D359" s="11"/>
      <c r="F359" s="11" t="s">
        <v>316</v>
      </c>
      <c r="G359" s="11">
        <v>0</v>
      </c>
      <c r="H359" s="11">
        <v>7.94</v>
      </c>
      <c r="I359" s="11" t="str">
        <f>TEXT(Dataset[[#This Row],[Purchase_Date]],"[$-409]mmmm")</f>
        <v>January</v>
      </c>
      <c r="J359" s="12">
        <f>MONTH(Dataset[[#This Row],[Purchase_Date]])</f>
        <v>1</v>
      </c>
      <c r="K359" s="13" t="str">
        <f>TEXT(Dataset[[#This Row],[Purchase_Date]],"mm - [$-409]mmmm")</f>
        <v>01 - January</v>
      </c>
      <c r="L359" s="11" t="str">
        <f>IF(Dataset[[#This Row],[Purchase_Date]]="","",YEAR(Dataset[[#This Row],[Purchase_Date]]))</f>
        <v/>
      </c>
      <c r="M359" s="11" t="str" cm="1">
        <f t="array" ref="M359">_xlfn.IFS(B359&lt;=25, "Young Adults", B359&lt;=35, "Emerging Professionals", B359&lt;=50, "Established Adults", TRUE, "Mature Customers")</f>
        <v>Established Adults</v>
      </c>
      <c r="N359" s="11" t="str">
        <f>IF(Dataset[[#This Row],[Total_Spent (€)]]&lt;10,"Low Spender",IF(Dataset[[#This Row],[Total_Spent (€)]]&lt;25,"Medium Spender","High Spender"))</f>
        <v>Low Spender</v>
      </c>
    </row>
    <row r="360" spans="1:14" x14ac:dyDescent="0.2">
      <c r="A360" s="14" t="s">
        <v>315</v>
      </c>
      <c r="B360" s="11">
        <v>34</v>
      </c>
      <c r="C360" s="11" t="s">
        <v>847</v>
      </c>
      <c r="D360" s="11"/>
      <c r="F360" s="11" t="s">
        <v>314</v>
      </c>
      <c r="G360" s="11">
        <v>0</v>
      </c>
      <c r="H360" s="11">
        <v>8.6199999999999992</v>
      </c>
      <c r="I360" s="11" t="str">
        <f>TEXT(Dataset[[#This Row],[Purchase_Date]],"[$-409]mmmm")</f>
        <v>January</v>
      </c>
      <c r="J360" s="12">
        <f>MONTH(Dataset[[#This Row],[Purchase_Date]])</f>
        <v>1</v>
      </c>
      <c r="K360" s="13" t="str">
        <f>TEXT(Dataset[[#This Row],[Purchase_Date]],"mm - [$-409]mmmm")</f>
        <v>01 - January</v>
      </c>
      <c r="L360" s="11" t="str">
        <f>IF(Dataset[[#This Row],[Purchase_Date]]="","",YEAR(Dataset[[#This Row],[Purchase_Date]]))</f>
        <v/>
      </c>
      <c r="M360" s="11" t="str" cm="1">
        <f t="array" ref="M360">_xlfn.IFS(B360&lt;=25, "Young Adults", B360&lt;=35, "Emerging Professionals", B360&lt;=50, "Established Adults", TRUE, "Mature Customers")</f>
        <v>Emerging Professionals</v>
      </c>
      <c r="N360" s="11" t="str">
        <f>IF(Dataset[[#This Row],[Total_Spent (€)]]&lt;10,"Low Spender",IF(Dataset[[#This Row],[Total_Spent (€)]]&lt;25,"Medium Spender","High Spender"))</f>
        <v>Low Spender</v>
      </c>
    </row>
    <row r="361" spans="1:14" x14ac:dyDescent="0.2">
      <c r="A361" s="14" t="s">
        <v>313</v>
      </c>
      <c r="B361" s="11">
        <v>46</v>
      </c>
      <c r="C361" s="11" t="s">
        <v>20</v>
      </c>
      <c r="D361" s="11">
        <v>17.850000000000001</v>
      </c>
      <c r="E361" s="11" t="s">
        <v>139</v>
      </c>
      <c r="F361" s="11" t="s">
        <v>47</v>
      </c>
      <c r="G361" s="11">
        <v>1</v>
      </c>
      <c r="H361" s="11">
        <v>3.93</v>
      </c>
      <c r="I361" s="11" t="str">
        <f>TEXT(Dataset[[#This Row],[Purchase_Date]],"[$-409]mmmm")</f>
        <v>November</v>
      </c>
      <c r="J361" s="12">
        <f>MONTH(Dataset[[#This Row],[Purchase_Date]])</f>
        <v>11</v>
      </c>
      <c r="K361" s="13" t="str">
        <f>TEXT(Dataset[[#This Row],[Purchase_Date]],"mm - [$-409]mmmm")</f>
        <v>11 - November</v>
      </c>
      <c r="L361" s="11">
        <f>IF(Dataset[[#This Row],[Purchase_Date]]="","",YEAR(Dataset[[#This Row],[Purchase_Date]]))</f>
        <v>2024</v>
      </c>
      <c r="M361" s="11" t="str" cm="1">
        <f t="array" ref="M361">_xlfn.IFS(B361&lt;=25, "Young Adults", B361&lt;=35, "Emerging Professionals", B361&lt;=50, "Established Adults", TRUE, "Mature Customers")</f>
        <v>Established Adults</v>
      </c>
      <c r="N361" s="11" t="str">
        <f>IF(Dataset[[#This Row],[Total_Spent (€)]]&lt;10,"Low Spender",IF(Dataset[[#This Row],[Total_Spent (€)]]&lt;25,"Medium Spender","High Spender"))</f>
        <v>Medium Spender</v>
      </c>
    </row>
    <row r="362" spans="1:14" x14ac:dyDescent="0.2">
      <c r="A362" s="14" t="s">
        <v>312</v>
      </c>
      <c r="B362" s="11">
        <v>36</v>
      </c>
      <c r="C362" s="11" t="s">
        <v>86</v>
      </c>
      <c r="D362" s="11">
        <v>13.14</v>
      </c>
      <c r="E362" s="11" t="s">
        <v>311</v>
      </c>
      <c r="F362" s="11" t="s">
        <v>310</v>
      </c>
      <c r="G362" s="11">
        <v>1</v>
      </c>
      <c r="H362" s="11">
        <v>3.42</v>
      </c>
      <c r="I362" s="11" t="str">
        <f>TEXT(Dataset[[#This Row],[Purchase_Date]],"[$-409]mmmm")</f>
        <v>July</v>
      </c>
      <c r="J362" s="12">
        <f>MONTH(Dataset[[#This Row],[Purchase_Date]])</f>
        <v>7</v>
      </c>
      <c r="K362" s="13" t="str">
        <f>TEXT(Dataset[[#This Row],[Purchase_Date]],"mm - [$-409]mmmm")</f>
        <v>07 - July</v>
      </c>
      <c r="L362" s="11">
        <f>IF(Dataset[[#This Row],[Purchase_Date]]="","",YEAR(Dataset[[#This Row],[Purchase_Date]]))</f>
        <v>2024</v>
      </c>
      <c r="M362" s="11" t="str" cm="1">
        <f t="array" ref="M362">_xlfn.IFS(B362&lt;=25, "Young Adults", B362&lt;=35, "Emerging Professionals", B362&lt;=50, "Established Adults", TRUE, "Mature Customers")</f>
        <v>Established Adults</v>
      </c>
      <c r="N362" s="11" t="str">
        <f>IF(Dataset[[#This Row],[Total_Spent (€)]]&lt;10,"Low Spender",IF(Dataset[[#This Row],[Total_Spent (€)]]&lt;25,"Medium Spender","High Spender"))</f>
        <v>Medium Spender</v>
      </c>
    </row>
    <row r="363" spans="1:14" x14ac:dyDescent="0.2">
      <c r="A363" s="14" t="s">
        <v>309</v>
      </c>
      <c r="B363" s="11">
        <v>35</v>
      </c>
      <c r="C363" s="11" t="s">
        <v>844</v>
      </c>
      <c r="D363" s="11">
        <v>14.7</v>
      </c>
      <c r="E363" s="11" t="s">
        <v>301</v>
      </c>
      <c r="F363" s="11" t="s">
        <v>308</v>
      </c>
      <c r="G363" s="11">
        <v>1</v>
      </c>
      <c r="H363" s="11">
        <v>3.02</v>
      </c>
      <c r="I363" s="11" t="str">
        <f>TEXT(Dataset[[#This Row],[Purchase_Date]],"[$-409]mmmm")</f>
        <v>May</v>
      </c>
      <c r="J363" s="12">
        <f>MONTH(Dataset[[#This Row],[Purchase_Date]])</f>
        <v>5</v>
      </c>
      <c r="K363" s="13" t="str">
        <f>TEXT(Dataset[[#This Row],[Purchase_Date]],"mm - [$-409]mmmm")</f>
        <v>05 - May</v>
      </c>
      <c r="L363" s="11">
        <f>IF(Dataset[[#This Row],[Purchase_Date]]="","",YEAR(Dataset[[#This Row],[Purchase_Date]]))</f>
        <v>2025</v>
      </c>
      <c r="M363" s="11" t="str" cm="1">
        <f t="array" ref="M363">_xlfn.IFS(B363&lt;=25, "Young Adults", B363&lt;=35, "Emerging Professionals", B363&lt;=50, "Established Adults", TRUE, "Mature Customers")</f>
        <v>Emerging Professionals</v>
      </c>
      <c r="N363" s="11" t="str">
        <f>IF(Dataset[[#This Row],[Total_Spent (€)]]&lt;10,"Low Spender",IF(Dataset[[#This Row],[Total_Spent (€)]]&lt;25,"Medium Spender","High Spender"))</f>
        <v>Medium Spender</v>
      </c>
    </row>
    <row r="364" spans="1:14" x14ac:dyDescent="0.2">
      <c r="A364" s="14" t="s">
        <v>307</v>
      </c>
      <c r="B364" s="11">
        <v>53</v>
      </c>
      <c r="C364" s="11" t="s">
        <v>17</v>
      </c>
      <c r="D364" s="11"/>
      <c r="F364" s="11" t="s">
        <v>111</v>
      </c>
      <c r="G364" s="11">
        <v>0</v>
      </c>
      <c r="H364" s="11">
        <v>3.92</v>
      </c>
      <c r="I364" s="11" t="str">
        <f>TEXT(Dataset[[#This Row],[Purchase_Date]],"[$-409]mmmm")</f>
        <v>January</v>
      </c>
      <c r="J364" s="12">
        <f>MONTH(Dataset[[#This Row],[Purchase_Date]])</f>
        <v>1</v>
      </c>
      <c r="K364" s="13" t="str">
        <f>TEXT(Dataset[[#This Row],[Purchase_Date]],"mm - [$-409]mmmm")</f>
        <v>01 - January</v>
      </c>
      <c r="L364" s="11" t="str">
        <f>IF(Dataset[[#This Row],[Purchase_Date]]="","",YEAR(Dataset[[#This Row],[Purchase_Date]]))</f>
        <v/>
      </c>
      <c r="M364" s="11" t="str" cm="1">
        <f t="array" ref="M364">_xlfn.IFS(B364&lt;=25, "Young Adults", B364&lt;=35, "Emerging Professionals", B364&lt;=50, "Established Adults", TRUE, "Mature Customers")</f>
        <v>Mature Customers</v>
      </c>
      <c r="N364" s="11" t="str">
        <f>IF(Dataset[[#This Row],[Total_Spent (€)]]&lt;10,"Low Spender",IF(Dataset[[#This Row],[Total_Spent (€)]]&lt;25,"Medium Spender","High Spender"))</f>
        <v>Low Spender</v>
      </c>
    </row>
    <row r="365" spans="1:14" x14ac:dyDescent="0.2">
      <c r="A365" s="14" t="s">
        <v>306</v>
      </c>
      <c r="B365" s="11">
        <v>20</v>
      </c>
      <c r="C365" s="11" t="s">
        <v>38</v>
      </c>
      <c r="D365" s="11">
        <v>18.28</v>
      </c>
      <c r="E365" s="11" t="s">
        <v>305</v>
      </c>
      <c r="F365" s="11" t="s">
        <v>305</v>
      </c>
      <c r="G365" s="11">
        <v>1</v>
      </c>
      <c r="H365" s="11">
        <v>9.98</v>
      </c>
      <c r="I365" s="11" t="str">
        <f>TEXT(Dataset[[#This Row],[Purchase_Date]],"[$-409]mmmm")</f>
        <v>May</v>
      </c>
      <c r="J365" s="12">
        <f>MONTH(Dataset[[#This Row],[Purchase_Date]])</f>
        <v>5</v>
      </c>
      <c r="K365" s="13" t="str">
        <f>TEXT(Dataset[[#This Row],[Purchase_Date]],"mm - [$-409]mmmm")</f>
        <v>05 - May</v>
      </c>
      <c r="L365" s="11">
        <f>IF(Dataset[[#This Row],[Purchase_Date]]="","",YEAR(Dataset[[#This Row],[Purchase_Date]]))</f>
        <v>2025</v>
      </c>
      <c r="M365" s="11" t="str" cm="1">
        <f t="array" ref="M365">_xlfn.IFS(B365&lt;=25, "Young Adults", B365&lt;=35, "Emerging Professionals", B365&lt;=50, "Established Adults", TRUE, "Mature Customers")</f>
        <v>Young Adults</v>
      </c>
      <c r="N365" s="11" t="str">
        <f>IF(Dataset[[#This Row],[Total_Spent (€)]]&lt;10,"Low Spender",IF(Dataset[[#This Row],[Total_Spent (€)]]&lt;25,"Medium Spender","High Spender"))</f>
        <v>Medium Spender</v>
      </c>
    </row>
    <row r="366" spans="1:14" x14ac:dyDescent="0.2">
      <c r="A366" s="14" t="s">
        <v>304</v>
      </c>
      <c r="B366" s="11">
        <v>52</v>
      </c>
      <c r="C366" s="11" t="s">
        <v>30</v>
      </c>
      <c r="D366" s="11">
        <v>29.29</v>
      </c>
      <c r="E366" s="11" t="s">
        <v>303</v>
      </c>
      <c r="F366" s="11" t="s">
        <v>193</v>
      </c>
      <c r="G366" s="11">
        <v>1</v>
      </c>
      <c r="H366" s="11">
        <v>3.74</v>
      </c>
      <c r="I366" s="11" t="str">
        <f>TEXT(Dataset[[#This Row],[Purchase_Date]],"[$-409]mmmm")</f>
        <v>June</v>
      </c>
      <c r="J366" s="12">
        <f>MONTH(Dataset[[#This Row],[Purchase_Date]])</f>
        <v>6</v>
      </c>
      <c r="K366" s="13" t="str">
        <f>TEXT(Dataset[[#This Row],[Purchase_Date]],"mm - [$-409]mmmm")</f>
        <v>06 - June</v>
      </c>
      <c r="L366" s="11">
        <f>IF(Dataset[[#This Row],[Purchase_Date]]="","",YEAR(Dataset[[#This Row],[Purchase_Date]]))</f>
        <v>2024</v>
      </c>
      <c r="M366" s="11" t="str" cm="1">
        <f t="array" ref="M366">_xlfn.IFS(B366&lt;=25, "Young Adults", B366&lt;=35, "Emerging Professionals", B366&lt;=50, "Established Adults", TRUE, "Mature Customers")</f>
        <v>Mature Customers</v>
      </c>
      <c r="N366" s="11" t="str">
        <f>IF(Dataset[[#This Row],[Total_Spent (€)]]&lt;10,"Low Spender",IF(Dataset[[#This Row],[Total_Spent (€)]]&lt;25,"Medium Spender","High Spender"))</f>
        <v>High Spender</v>
      </c>
    </row>
    <row r="367" spans="1:14" x14ac:dyDescent="0.2">
      <c r="A367" s="14" t="s">
        <v>302</v>
      </c>
      <c r="B367" s="11">
        <v>54</v>
      </c>
      <c r="C367" s="11" t="s">
        <v>38</v>
      </c>
      <c r="D367" s="11">
        <v>11.71</v>
      </c>
      <c r="E367" s="11" t="s">
        <v>301</v>
      </c>
      <c r="F367" s="11" t="s">
        <v>227</v>
      </c>
      <c r="G367" s="11">
        <v>1</v>
      </c>
      <c r="H367" s="11">
        <v>5.14</v>
      </c>
      <c r="I367" s="11" t="str">
        <f>TEXT(Dataset[[#This Row],[Purchase_Date]],"[$-409]mmmm")</f>
        <v>May</v>
      </c>
      <c r="J367" s="12">
        <f>MONTH(Dataset[[#This Row],[Purchase_Date]])</f>
        <v>5</v>
      </c>
      <c r="K367" s="13" t="str">
        <f>TEXT(Dataset[[#This Row],[Purchase_Date]],"mm - [$-409]mmmm")</f>
        <v>05 - May</v>
      </c>
      <c r="L367" s="11">
        <f>IF(Dataset[[#This Row],[Purchase_Date]]="","",YEAR(Dataset[[#This Row],[Purchase_Date]]))</f>
        <v>2025</v>
      </c>
      <c r="M367" s="11" t="str" cm="1">
        <f t="array" ref="M367">_xlfn.IFS(B367&lt;=25, "Young Adults", B367&lt;=35, "Emerging Professionals", B367&lt;=50, "Established Adults", TRUE, "Mature Customers")</f>
        <v>Mature Customers</v>
      </c>
      <c r="N367" s="11" t="str">
        <f>IF(Dataset[[#This Row],[Total_Spent (€)]]&lt;10,"Low Spender",IF(Dataset[[#This Row],[Total_Spent (€)]]&lt;25,"Medium Spender","High Spender"))</f>
        <v>Medium Spender</v>
      </c>
    </row>
    <row r="368" spans="1:14" x14ac:dyDescent="0.2">
      <c r="A368" s="14" t="s">
        <v>300</v>
      </c>
      <c r="B368" s="11">
        <v>26</v>
      </c>
      <c r="C368" s="11" t="s">
        <v>38</v>
      </c>
      <c r="D368" s="11">
        <v>9.39</v>
      </c>
      <c r="E368" s="11" t="s">
        <v>299</v>
      </c>
      <c r="F368" s="11" t="s">
        <v>89</v>
      </c>
      <c r="G368" s="11">
        <v>1</v>
      </c>
      <c r="H368" s="11">
        <v>5.72</v>
      </c>
      <c r="I368" s="11" t="str">
        <f>TEXT(Dataset[[#This Row],[Purchase_Date]],"[$-409]mmmm")</f>
        <v>September</v>
      </c>
      <c r="J368" s="12">
        <f>MONTH(Dataset[[#This Row],[Purchase_Date]])</f>
        <v>9</v>
      </c>
      <c r="K368" s="13" t="str">
        <f>TEXT(Dataset[[#This Row],[Purchase_Date]],"mm - [$-409]mmmm")</f>
        <v>09 - September</v>
      </c>
      <c r="L368" s="11">
        <f>IF(Dataset[[#This Row],[Purchase_Date]]="","",YEAR(Dataset[[#This Row],[Purchase_Date]]))</f>
        <v>2024</v>
      </c>
      <c r="M368" s="11" t="str" cm="1">
        <f t="array" ref="M368">_xlfn.IFS(B368&lt;=25, "Young Adults", B368&lt;=35, "Emerging Professionals", B368&lt;=50, "Established Adults", TRUE, "Mature Customers")</f>
        <v>Emerging Professionals</v>
      </c>
      <c r="N368" s="11" t="str">
        <f>IF(Dataset[[#This Row],[Total_Spent (€)]]&lt;10,"Low Spender",IF(Dataset[[#This Row],[Total_Spent (€)]]&lt;25,"Medium Spender","High Spender"))</f>
        <v>Low Spender</v>
      </c>
    </row>
    <row r="369" spans="1:14" x14ac:dyDescent="0.2">
      <c r="A369" s="14" t="s">
        <v>298</v>
      </c>
      <c r="B369" s="11">
        <v>27</v>
      </c>
      <c r="C369" s="11" t="s">
        <v>61</v>
      </c>
      <c r="D369" s="11">
        <v>22.23</v>
      </c>
      <c r="E369" s="11" t="s">
        <v>297</v>
      </c>
      <c r="F369" s="11" t="s">
        <v>235</v>
      </c>
      <c r="G369" s="11">
        <v>1</v>
      </c>
      <c r="H369" s="11">
        <v>2.97</v>
      </c>
      <c r="I369" s="11" t="str">
        <f>TEXT(Dataset[[#This Row],[Purchase_Date]],"[$-409]mmmm")</f>
        <v>April</v>
      </c>
      <c r="J369" s="12">
        <f>MONTH(Dataset[[#This Row],[Purchase_Date]])</f>
        <v>4</v>
      </c>
      <c r="K369" s="13" t="str">
        <f>TEXT(Dataset[[#This Row],[Purchase_Date]],"mm - [$-409]mmmm")</f>
        <v>04 - April</v>
      </c>
      <c r="L369" s="11">
        <f>IF(Dataset[[#This Row],[Purchase_Date]]="","",YEAR(Dataset[[#This Row],[Purchase_Date]]))</f>
        <v>2025</v>
      </c>
      <c r="M369" s="11" t="str" cm="1">
        <f t="array" ref="M369">_xlfn.IFS(B369&lt;=25, "Young Adults", B369&lt;=35, "Emerging Professionals", B369&lt;=50, "Established Adults", TRUE, "Mature Customers")</f>
        <v>Emerging Professionals</v>
      </c>
      <c r="N369" s="11" t="str">
        <f>IF(Dataset[[#This Row],[Total_Spent (€)]]&lt;10,"Low Spender",IF(Dataset[[#This Row],[Total_Spent (€)]]&lt;25,"Medium Spender","High Spender"))</f>
        <v>Medium Spender</v>
      </c>
    </row>
    <row r="370" spans="1:14" x14ac:dyDescent="0.2">
      <c r="A370" s="14" t="s">
        <v>296</v>
      </c>
      <c r="B370" s="11">
        <v>26</v>
      </c>
      <c r="C370" s="11" t="s">
        <v>61</v>
      </c>
      <c r="D370" s="11">
        <v>9.4700000000000006</v>
      </c>
      <c r="E370" s="11" t="s">
        <v>103</v>
      </c>
      <c r="F370" s="11" t="s">
        <v>295</v>
      </c>
      <c r="G370" s="11">
        <v>1</v>
      </c>
      <c r="H370" s="11">
        <v>3.99</v>
      </c>
      <c r="I370" s="11" t="str">
        <f>TEXT(Dataset[[#This Row],[Purchase_Date]],"[$-409]mmmm")</f>
        <v>January</v>
      </c>
      <c r="J370" s="12">
        <f>MONTH(Dataset[[#This Row],[Purchase_Date]])</f>
        <v>1</v>
      </c>
      <c r="K370" s="13" t="str">
        <f>TEXT(Dataset[[#This Row],[Purchase_Date]],"mm - [$-409]mmmm")</f>
        <v>01 - January</v>
      </c>
      <c r="L370" s="11">
        <f>IF(Dataset[[#This Row],[Purchase_Date]]="","",YEAR(Dataset[[#This Row],[Purchase_Date]]))</f>
        <v>2025</v>
      </c>
      <c r="M370" s="11" t="str" cm="1">
        <f t="array" ref="M370">_xlfn.IFS(B370&lt;=25, "Young Adults", B370&lt;=35, "Emerging Professionals", B370&lt;=50, "Established Adults", TRUE, "Mature Customers")</f>
        <v>Emerging Professionals</v>
      </c>
      <c r="N370" s="11" t="str">
        <f>IF(Dataset[[#This Row],[Total_Spent (€)]]&lt;10,"Low Spender",IF(Dataset[[#This Row],[Total_Spent (€)]]&lt;25,"Medium Spender","High Spender"))</f>
        <v>Low Spender</v>
      </c>
    </row>
    <row r="371" spans="1:14" x14ac:dyDescent="0.2">
      <c r="A371" s="14" t="s">
        <v>294</v>
      </c>
      <c r="B371" s="11">
        <v>26</v>
      </c>
      <c r="C371" s="11" t="s">
        <v>61</v>
      </c>
      <c r="D371" s="11">
        <v>22.91</v>
      </c>
      <c r="E371" s="11" t="s">
        <v>293</v>
      </c>
      <c r="F371" s="11" t="s">
        <v>96</v>
      </c>
      <c r="G371" s="11">
        <v>1</v>
      </c>
      <c r="H371" s="11">
        <v>5.15</v>
      </c>
      <c r="I371" s="11" t="str">
        <f>TEXT(Dataset[[#This Row],[Purchase_Date]],"[$-409]mmmm")</f>
        <v>March</v>
      </c>
      <c r="J371" s="12">
        <f>MONTH(Dataset[[#This Row],[Purchase_Date]])</f>
        <v>3</v>
      </c>
      <c r="K371" s="13" t="str">
        <f>TEXT(Dataset[[#This Row],[Purchase_Date]],"mm - [$-409]mmmm")</f>
        <v>03 - March</v>
      </c>
      <c r="L371" s="11">
        <f>IF(Dataset[[#This Row],[Purchase_Date]]="","",YEAR(Dataset[[#This Row],[Purchase_Date]]))</f>
        <v>2025</v>
      </c>
      <c r="M371" s="11" t="str" cm="1">
        <f t="array" ref="M371">_xlfn.IFS(B371&lt;=25, "Young Adults", B371&lt;=35, "Emerging Professionals", B371&lt;=50, "Established Adults", TRUE, "Mature Customers")</f>
        <v>Emerging Professionals</v>
      </c>
      <c r="N371" s="11" t="str">
        <f>IF(Dataset[[#This Row],[Total_Spent (€)]]&lt;10,"Low Spender",IF(Dataset[[#This Row],[Total_Spent (€)]]&lt;25,"Medium Spender","High Spender"))</f>
        <v>Medium Spender</v>
      </c>
    </row>
    <row r="372" spans="1:14" x14ac:dyDescent="0.2">
      <c r="A372" s="14" t="s">
        <v>292</v>
      </c>
      <c r="B372" s="11">
        <v>44</v>
      </c>
      <c r="C372" s="11" t="s">
        <v>841</v>
      </c>
      <c r="D372" s="11"/>
      <c r="F372" s="11" t="s">
        <v>291</v>
      </c>
      <c r="G372" s="11">
        <v>0</v>
      </c>
      <c r="H372" s="11">
        <v>4.07</v>
      </c>
      <c r="I372" s="11" t="str">
        <f>TEXT(Dataset[[#This Row],[Purchase_Date]],"[$-409]mmmm")</f>
        <v>January</v>
      </c>
      <c r="J372" s="12">
        <f>MONTH(Dataset[[#This Row],[Purchase_Date]])</f>
        <v>1</v>
      </c>
      <c r="K372" s="13" t="str">
        <f>TEXT(Dataset[[#This Row],[Purchase_Date]],"mm - [$-409]mmmm")</f>
        <v>01 - January</v>
      </c>
      <c r="L372" s="11" t="str">
        <f>IF(Dataset[[#This Row],[Purchase_Date]]="","",YEAR(Dataset[[#This Row],[Purchase_Date]]))</f>
        <v/>
      </c>
      <c r="M372" s="11" t="str" cm="1">
        <f t="array" ref="M372">_xlfn.IFS(B372&lt;=25, "Young Adults", B372&lt;=35, "Emerging Professionals", B372&lt;=50, "Established Adults", TRUE, "Mature Customers")</f>
        <v>Established Adults</v>
      </c>
      <c r="N372" s="11" t="str">
        <f>IF(Dataset[[#This Row],[Total_Spent (€)]]&lt;10,"Low Spender",IF(Dataset[[#This Row],[Total_Spent (€)]]&lt;25,"Medium Spender","High Spender"))</f>
        <v>Low Spender</v>
      </c>
    </row>
    <row r="373" spans="1:14" x14ac:dyDescent="0.2">
      <c r="A373" s="14" t="s">
        <v>290</v>
      </c>
      <c r="B373" s="11">
        <v>46</v>
      </c>
      <c r="C373" s="11" t="s">
        <v>841</v>
      </c>
      <c r="D373" s="11">
        <v>38.200000000000003</v>
      </c>
      <c r="E373" s="11" t="s">
        <v>289</v>
      </c>
      <c r="F373" s="11" t="s">
        <v>288</v>
      </c>
      <c r="G373" s="11">
        <v>1</v>
      </c>
      <c r="H373" s="11">
        <v>4.95</v>
      </c>
      <c r="I373" s="11" t="str">
        <f>TEXT(Dataset[[#This Row],[Purchase_Date]],"[$-409]mmmm")</f>
        <v>July</v>
      </c>
      <c r="J373" s="12">
        <f>MONTH(Dataset[[#This Row],[Purchase_Date]])</f>
        <v>7</v>
      </c>
      <c r="K373" s="13" t="str">
        <f>TEXT(Dataset[[#This Row],[Purchase_Date]],"mm - [$-409]mmmm")</f>
        <v>07 - July</v>
      </c>
      <c r="L373" s="11">
        <f>IF(Dataset[[#This Row],[Purchase_Date]]="","",YEAR(Dataset[[#This Row],[Purchase_Date]]))</f>
        <v>2024</v>
      </c>
      <c r="M373" s="11" t="str" cm="1">
        <f t="array" ref="M373">_xlfn.IFS(B373&lt;=25, "Young Adults", B373&lt;=35, "Emerging Professionals", B373&lt;=50, "Established Adults", TRUE, "Mature Customers")</f>
        <v>Established Adults</v>
      </c>
      <c r="N373" s="11" t="str">
        <f>IF(Dataset[[#This Row],[Total_Spent (€)]]&lt;10,"Low Spender",IF(Dataset[[#This Row],[Total_Spent (€)]]&lt;25,"Medium Spender","High Spender"))</f>
        <v>High Spender</v>
      </c>
    </row>
    <row r="374" spans="1:14" x14ac:dyDescent="0.2">
      <c r="A374" s="14" t="s">
        <v>287</v>
      </c>
      <c r="B374" s="11">
        <v>53</v>
      </c>
      <c r="C374" s="11" t="s">
        <v>846</v>
      </c>
      <c r="D374" s="11">
        <v>26.27</v>
      </c>
      <c r="E374" s="11" t="s">
        <v>286</v>
      </c>
      <c r="F374" s="11" t="s">
        <v>286</v>
      </c>
      <c r="G374" s="11">
        <v>1</v>
      </c>
      <c r="H374" s="11">
        <v>3.32</v>
      </c>
      <c r="I374" s="11" t="str">
        <f>TEXT(Dataset[[#This Row],[Purchase_Date]],"[$-409]mmmm")</f>
        <v>February</v>
      </c>
      <c r="J374" s="12">
        <f>MONTH(Dataset[[#This Row],[Purchase_Date]])</f>
        <v>2</v>
      </c>
      <c r="K374" s="13" t="str">
        <f>TEXT(Dataset[[#This Row],[Purchase_Date]],"mm - [$-409]mmmm")</f>
        <v>02 - February</v>
      </c>
      <c r="L374" s="11">
        <f>IF(Dataset[[#This Row],[Purchase_Date]]="","",YEAR(Dataset[[#This Row],[Purchase_Date]]))</f>
        <v>2025</v>
      </c>
      <c r="M374" s="11" t="str" cm="1">
        <f t="array" ref="M374">_xlfn.IFS(B374&lt;=25, "Young Adults", B374&lt;=35, "Emerging Professionals", B374&lt;=50, "Established Adults", TRUE, "Mature Customers")</f>
        <v>Mature Customers</v>
      </c>
      <c r="N374" s="11" t="str">
        <f>IF(Dataset[[#This Row],[Total_Spent (€)]]&lt;10,"Low Spender",IF(Dataset[[#This Row],[Total_Spent (€)]]&lt;25,"Medium Spender","High Spender"))</f>
        <v>High Spender</v>
      </c>
    </row>
    <row r="375" spans="1:14" x14ac:dyDescent="0.2">
      <c r="A375" s="14" t="s">
        <v>285</v>
      </c>
      <c r="B375" s="11">
        <v>31</v>
      </c>
      <c r="C375" s="11" t="s">
        <v>38</v>
      </c>
      <c r="D375" s="11"/>
      <c r="F375" s="11" t="s">
        <v>58</v>
      </c>
      <c r="G375" s="11">
        <v>0</v>
      </c>
      <c r="H375" s="11">
        <v>5.57</v>
      </c>
      <c r="I375" s="11" t="str">
        <f>TEXT(Dataset[[#This Row],[Purchase_Date]],"[$-409]mmmm")</f>
        <v>January</v>
      </c>
      <c r="J375" s="12">
        <f>MONTH(Dataset[[#This Row],[Purchase_Date]])</f>
        <v>1</v>
      </c>
      <c r="K375" s="13" t="str">
        <f>TEXT(Dataset[[#This Row],[Purchase_Date]],"mm - [$-409]mmmm")</f>
        <v>01 - January</v>
      </c>
      <c r="L375" s="11" t="str">
        <f>IF(Dataset[[#This Row],[Purchase_Date]]="","",YEAR(Dataset[[#This Row],[Purchase_Date]]))</f>
        <v/>
      </c>
      <c r="M375" s="11" t="str" cm="1">
        <f t="array" ref="M375">_xlfn.IFS(B375&lt;=25, "Young Adults", B375&lt;=35, "Emerging Professionals", B375&lt;=50, "Established Adults", TRUE, "Mature Customers")</f>
        <v>Emerging Professionals</v>
      </c>
      <c r="N375" s="11" t="str">
        <f>IF(Dataset[[#This Row],[Total_Spent (€)]]&lt;10,"Low Spender",IF(Dataset[[#This Row],[Total_Spent (€)]]&lt;25,"Medium Spender","High Spender"))</f>
        <v>Low Spender</v>
      </c>
    </row>
    <row r="376" spans="1:14" x14ac:dyDescent="0.2">
      <c r="A376" s="14" t="s">
        <v>284</v>
      </c>
      <c r="B376" s="11">
        <v>31</v>
      </c>
      <c r="C376" s="11" t="s">
        <v>840</v>
      </c>
      <c r="D376" s="11"/>
      <c r="F376" s="11" t="s">
        <v>283</v>
      </c>
      <c r="G376" s="11">
        <v>0</v>
      </c>
      <c r="H376" s="11">
        <v>6.62</v>
      </c>
      <c r="I376" s="11" t="str">
        <f>TEXT(Dataset[[#This Row],[Purchase_Date]],"[$-409]mmmm")</f>
        <v>January</v>
      </c>
      <c r="J376" s="12">
        <f>MONTH(Dataset[[#This Row],[Purchase_Date]])</f>
        <v>1</v>
      </c>
      <c r="K376" s="13" t="str">
        <f>TEXT(Dataset[[#This Row],[Purchase_Date]],"mm - [$-409]mmmm")</f>
        <v>01 - January</v>
      </c>
      <c r="L376" s="11" t="str">
        <f>IF(Dataset[[#This Row],[Purchase_Date]]="","",YEAR(Dataset[[#This Row],[Purchase_Date]]))</f>
        <v/>
      </c>
      <c r="M376" s="11" t="str" cm="1">
        <f t="array" ref="M376">_xlfn.IFS(B376&lt;=25, "Young Adults", B376&lt;=35, "Emerging Professionals", B376&lt;=50, "Established Adults", TRUE, "Mature Customers")</f>
        <v>Emerging Professionals</v>
      </c>
      <c r="N376" s="11" t="str">
        <f>IF(Dataset[[#This Row],[Total_Spent (€)]]&lt;10,"Low Spender",IF(Dataset[[#This Row],[Total_Spent (€)]]&lt;25,"Medium Spender","High Spender"))</f>
        <v>Low Spender</v>
      </c>
    </row>
    <row r="377" spans="1:14" x14ac:dyDescent="0.2">
      <c r="A377" s="14" t="s">
        <v>282</v>
      </c>
      <c r="B377" s="11">
        <v>40</v>
      </c>
      <c r="C377" s="11" t="s">
        <v>43</v>
      </c>
      <c r="D377" s="11"/>
      <c r="F377" s="11" t="s">
        <v>281</v>
      </c>
      <c r="G377" s="11">
        <v>0</v>
      </c>
      <c r="H377" s="11">
        <v>8.4</v>
      </c>
      <c r="I377" s="11" t="str">
        <f>TEXT(Dataset[[#This Row],[Purchase_Date]],"[$-409]mmmm")</f>
        <v>January</v>
      </c>
      <c r="J377" s="12">
        <f>MONTH(Dataset[[#This Row],[Purchase_Date]])</f>
        <v>1</v>
      </c>
      <c r="K377" s="13" t="str">
        <f>TEXT(Dataset[[#This Row],[Purchase_Date]],"mm - [$-409]mmmm")</f>
        <v>01 - January</v>
      </c>
      <c r="L377" s="11" t="str">
        <f>IF(Dataset[[#This Row],[Purchase_Date]]="","",YEAR(Dataset[[#This Row],[Purchase_Date]]))</f>
        <v/>
      </c>
      <c r="M377" s="11" t="str" cm="1">
        <f t="array" ref="M377">_xlfn.IFS(B377&lt;=25, "Young Adults", B377&lt;=35, "Emerging Professionals", B377&lt;=50, "Established Adults", TRUE, "Mature Customers")</f>
        <v>Established Adults</v>
      </c>
      <c r="N377" s="11" t="str">
        <f>IF(Dataset[[#This Row],[Total_Spent (€)]]&lt;10,"Low Spender",IF(Dataset[[#This Row],[Total_Spent (€)]]&lt;25,"Medium Spender","High Spender"))</f>
        <v>Low Spender</v>
      </c>
    </row>
    <row r="378" spans="1:14" x14ac:dyDescent="0.2">
      <c r="A378" s="14" t="s">
        <v>280</v>
      </c>
      <c r="B378" s="11">
        <v>42</v>
      </c>
      <c r="C378" s="11" t="s">
        <v>20</v>
      </c>
      <c r="D378" s="11">
        <v>18.940000000000001</v>
      </c>
      <c r="E378" s="11" t="s">
        <v>279</v>
      </c>
      <c r="F378" s="11" t="s">
        <v>265</v>
      </c>
      <c r="G378" s="11">
        <v>1</v>
      </c>
      <c r="H378" s="11">
        <v>8.65</v>
      </c>
      <c r="I378" s="11" t="str">
        <f>TEXT(Dataset[[#This Row],[Purchase_Date]],"[$-409]mmmm")</f>
        <v>August</v>
      </c>
      <c r="J378" s="12">
        <f>MONTH(Dataset[[#This Row],[Purchase_Date]])</f>
        <v>8</v>
      </c>
      <c r="K378" s="13" t="str">
        <f>TEXT(Dataset[[#This Row],[Purchase_Date]],"mm - [$-409]mmmm")</f>
        <v>08 - August</v>
      </c>
      <c r="L378" s="11">
        <f>IF(Dataset[[#This Row],[Purchase_Date]]="","",YEAR(Dataset[[#This Row],[Purchase_Date]]))</f>
        <v>2024</v>
      </c>
      <c r="M378" s="11" t="str" cm="1">
        <f t="array" ref="M378">_xlfn.IFS(B378&lt;=25, "Young Adults", B378&lt;=35, "Emerging Professionals", B378&lt;=50, "Established Adults", TRUE, "Mature Customers")</f>
        <v>Established Adults</v>
      </c>
      <c r="N378" s="11" t="str">
        <f>IF(Dataset[[#This Row],[Total_Spent (€)]]&lt;10,"Low Spender",IF(Dataset[[#This Row],[Total_Spent (€)]]&lt;25,"Medium Spender","High Spender"))</f>
        <v>Medium Spender</v>
      </c>
    </row>
    <row r="379" spans="1:14" x14ac:dyDescent="0.2">
      <c r="A379" s="14" t="s">
        <v>278</v>
      </c>
      <c r="B379" s="11">
        <v>39</v>
      </c>
      <c r="C379" s="11" t="s">
        <v>845</v>
      </c>
      <c r="D379" s="11">
        <v>10.210000000000001</v>
      </c>
      <c r="E379" s="11" t="s">
        <v>277</v>
      </c>
      <c r="F379" s="11" t="s">
        <v>276</v>
      </c>
      <c r="G379" s="11">
        <v>1</v>
      </c>
      <c r="H379" s="11">
        <v>4.79</v>
      </c>
      <c r="I379" s="11" t="str">
        <f>TEXT(Dataset[[#This Row],[Purchase_Date]],"[$-409]mmmm")</f>
        <v>June</v>
      </c>
      <c r="J379" s="12">
        <f>MONTH(Dataset[[#This Row],[Purchase_Date]])</f>
        <v>6</v>
      </c>
      <c r="K379" s="13" t="str">
        <f>TEXT(Dataset[[#This Row],[Purchase_Date]],"mm - [$-409]mmmm")</f>
        <v>06 - June</v>
      </c>
      <c r="L379" s="11">
        <f>IF(Dataset[[#This Row],[Purchase_Date]]="","",YEAR(Dataset[[#This Row],[Purchase_Date]]))</f>
        <v>2024</v>
      </c>
      <c r="M379" s="11" t="str" cm="1">
        <f t="array" ref="M379">_xlfn.IFS(B379&lt;=25, "Young Adults", B379&lt;=35, "Emerging Professionals", B379&lt;=50, "Established Adults", TRUE, "Mature Customers")</f>
        <v>Established Adults</v>
      </c>
      <c r="N379" s="11" t="str">
        <f>IF(Dataset[[#This Row],[Total_Spent (€)]]&lt;10,"Low Spender",IF(Dataset[[#This Row],[Total_Spent (€)]]&lt;25,"Medium Spender","High Spender"))</f>
        <v>Medium Spender</v>
      </c>
    </row>
    <row r="380" spans="1:14" x14ac:dyDescent="0.2">
      <c r="A380" s="14" t="s">
        <v>275</v>
      </c>
      <c r="B380" s="11">
        <v>45</v>
      </c>
      <c r="C380" s="11" t="s">
        <v>841</v>
      </c>
      <c r="D380" s="11">
        <v>28.13</v>
      </c>
      <c r="E380" s="11" t="s">
        <v>274</v>
      </c>
      <c r="F380" s="11" t="s">
        <v>273</v>
      </c>
      <c r="G380" s="11">
        <v>1</v>
      </c>
      <c r="H380" s="11">
        <v>5.79</v>
      </c>
      <c r="I380" s="11" t="str">
        <f>TEXT(Dataset[[#This Row],[Purchase_Date]],"[$-409]mmmm")</f>
        <v>December</v>
      </c>
      <c r="J380" s="12">
        <f>MONTH(Dataset[[#This Row],[Purchase_Date]])</f>
        <v>12</v>
      </c>
      <c r="K380" s="13" t="str">
        <f>TEXT(Dataset[[#This Row],[Purchase_Date]],"mm - [$-409]mmmm")</f>
        <v>12 - December</v>
      </c>
      <c r="L380" s="11">
        <f>IF(Dataset[[#This Row],[Purchase_Date]]="","",YEAR(Dataset[[#This Row],[Purchase_Date]]))</f>
        <v>2024</v>
      </c>
      <c r="M380" s="11" t="str" cm="1">
        <f t="array" ref="M380">_xlfn.IFS(B380&lt;=25, "Young Adults", B380&lt;=35, "Emerging Professionals", B380&lt;=50, "Established Adults", TRUE, "Mature Customers")</f>
        <v>Established Adults</v>
      </c>
      <c r="N380" s="11" t="str">
        <f>IF(Dataset[[#This Row],[Total_Spent (€)]]&lt;10,"Low Spender",IF(Dataset[[#This Row],[Total_Spent (€)]]&lt;25,"Medium Spender","High Spender"))</f>
        <v>High Spender</v>
      </c>
    </row>
    <row r="381" spans="1:14" x14ac:dyDescent="0.2">
      <c r="A381" s="14" t="s">
        <v>272</v>
      </c>
      <c r="B381" s="11">
        <v>28</v>
      </c>
      <c r="C381" s="11" t="s">
        <v>840</v>
      </c>
      <c r="D381" s="11"/>
      <c r="F381" s="11" t="s">
        <v>271</v>
      </c>
      <c r="G381" s="11">
        <v>0</v>
      </c>
      <c r="H381" s="11">
        <v>3.09</v>
      </c>
      <c r="I381" s="11" t="str">
        <f>TEXT(Dataset[[#This Row],[Purchase_Date]],"[$-409]mmmm")</f>
        <v>January</v>
      </c>
      <c r="J381" s="12">
        <f>MONTH(Dataset[[#This Row],[Purchase_Date]])</f>
        <v>1</v>
      </c>
      <c r="K381" s="13" t="str">
        <f>TEXT(Dataset[[#This Row],[Purchase_Date]],"mm - [$-409]mmmm")</f>
        <v>01 - January</v>
      </c>
      <c r="L381" s="11" t="str">
        <f>IF(Dataset[[#This Row],[Purchase_Date]]="","",YEAR(Dataset[[#This Row],[Purchase_Date]]))</f>
        <v/>
      </c>
      <c r="M381" s="11" t="str" cm="1">
        <f t="array" ref="M381">_xlfn.IFS(B381&lt;=25, "Young Adults", B381&lt;=35, "Emerging Professionals", B381&lt;=50, "Established Adults", TRUE, "Mature Customers")</f>
        <v>Emerging Professionals</v>
      </c>
      <c r="N381" s="11" t="str">
        <f>IF(Dataset[[#This Row],[Total_Spent (€)]]&lt;10,"Low Spender",IF(Dataset[[#This Row],[Total_Spent (€)]]&lt;25,"Medium Spender","High Spender"))</f>
        <v>Low Spender</v>
      </c>
    </row>
    <row r="382" spans="1:14" x14ac:dyDescent="0.2">
      <c r="A382" s="14" t="s">
        <v>270</v>
      </c>
      <c r="B382" s="11">
        <v>42</v>
      </c>
      <c r="C382" s="11" t="s">
        <v>843</v>
      </c>
      <c r="D382" s="11"/>
      <c r="F382" s="11" t="s">
        <v>269</v>
      </c>
      <c r="G382" s="11">
        <v>0</v>
      </c>
      <c r="H382" s="11">
        <v>8.23</v>
      </c>
      <c r="I382" s="11" t="str">
        <f>TEXT(Dataset[[#This Row],[Purchase_Date]],"[$-409]mmmm")</f>
        <v>January</v>
      </c>
      <c r="J382" s="12">
        <f>MONTH(Dataset[[#This Row],[Purchase_Date]])</f>
        <v>1</v>
      </c>
      <c r="K382" s="13" t="str">
        <f>TEXT(Dataset[[#This Row],[Purchase_Date]],"mm - [$-409]mmmm")</f>
        <v>01 - January</v>
      </c>
      <c r="L382" s="11" t="str">
        <f>IF(Dataset[[#This Row],[Purchase_Date]]="","",YEAR(Dataset[[#This Row],[Purchase_Date]]))</f>
        <v/>
      </c>
      <c r="M382" s="11" t="str" cm="1">
        <f t="array" ref="M382">_xlfn.IFS(B382&lt;=25, "Young Adults", B382&lt;=35, "Emerging Professionals", B382&lt;=50, "Established Adults", TRUE, "Mature Customers")</f>
        <v>Established Adults</v>
      </c>
      <c r="N382" s="11" t="str">
        <f>IF(Dataset[[#This Row],[Total_Spent (€)]]&lt;10,"Low Spender",IF(Dataset[[#This Row],[Total_Spent (€)]]&lt;25,"Medium Spender","High Spender"))</f>
        <v>Low Spender</v>
      </c>
    </row>
    <row r="383" spans="1:14" x14ac:dyDescent="0.2">
      <c r="A383" s="14" t="s">
        <v>268</v>
      </c>
      <c r="B383" s="11">
        <v>32</v>
      </c>
      <c r="C383" s="11" t="s">
        <v>61</v>
      </c>
      <c r="D383" s="11">
        <v>16.96</v>
      </c>
      <c r="E383" s="11" t="s">
        <v>267</v>
      </c>
      <c r="F383" s="11" t="s">
        <v>196</v>
      </c>
      <c r="G383" s="11">
        <v>1</v>
      </c>
      <c r="H383" s="11">
        <v>7.27</v>
      </c>
      <c r="I383" s="11" t="str">
        <f>TEXT(Dataset[[#This Row],[Purchase_Date]],"[$-409]mmmm")</f>
        <v>January</v>
      </c>
      <c r="J383" s="12">
        <f>MONTH(Dataset[[#This Row],[Purchase_Date]])</f>
        <v>1</v>
      </c>
      <c r="K383" s="13" t="str">
        <f>TEXT(Dataset[[#This Row],[Purchase_Date]],"mm - [$-409]mmmm")</f>
        <v>01 - January</v>
      </c>
      <c r="L383" s="11">
        <f>IF(Dataset[[#This Row],[Purchase_Date]]="","",YEAR(Dataset[[#This Row],[Purchase_Date]]))</f>
        <v>2025</v>
      </c>
      <c r="M383" s="11" t="str" cm="1">
        <f t="array" ref="M383">_xlfn.IFS(B383&lt;=25, "Young Adults", B383&lt;=35, "Emerging Professionals", B383&lt;=50, "Established Adults", TRUE, "Mature Customers")</f>
        <v>Emerging Professionals</v>
      </c>
      <c r="N383" s="11" t="str">
        <f>IF(Dataset[[#This Row],[Total_Spent (€)]]&lt;10,"Low Spender",IF(Dataset[[#This Row],[Total_Spent (€)]]&lt;25,"Medium Spender","High Spender"))</f>
        <v>Medium Spender</v>
      </c>
    </row>
    <row r="384" spans="1:14" x14ac:dyDescent="0.2">
      <c r="A384" s="14" t="s">
        <v>266</v>
      </c>
      <c r="B384" s="11">
        <v>30</v>
      </c>
      <c r="C384" s="11" t="s">
        <v>75</v>
      </c>
      <c r="D384" s="11"/>
      <c r="F384" s="11" t="s">
        <v>265</v>
      </c>
      <c r="G384" s="11">
        <v>0</v>
      </c>
      <c r="H384" s="11">
        <v>7.8</v>
      </c>
      <c r="I384" s="11" t="str">
        <f>TEXT(Dataset[[#This Row],[Purchase_Date]],"[$-409]mmmm")</f>
        <v>January</v>
      </c>
      <c r="J384" s="12">
        <f>MONTH(Dataset[[#This Row],[Purchase_Date]])</f>
        <v>1</v>
      </c>
      <c r="K384" s="13" t="str">
        <f>TEXT(Dataset[[#This Row],[Purchase_Date]],"mm - [$-409]mmmm")</f>
        <v>01 - January</v>
      </c>
      <c r="L384" s="11" t="str">
        <f>IF(Dataset[[#This Row],[Purchase_Date]]="","",YEAR(Dataset[[#This Row],[Purchase_Date]]))</f>
        <v/>
      </c>
      <c r="M384" s="11" t="str" cm="1">
        <f t="array" ref="M384">_xlfn.IFS(B384&lt;=25, "Young Adults", B384&lt;=35, "Emerging Professionals", B384&lt;=50, "Established Adults", TRUE, "Mature Customers")</f>
        <v>Emerging Professionals</v>
      </c>
      <c r="N384" s="11" t="str">
        <f>IF(Dataset[[#This Row],[Total_Spent (€)]]&lt;10,"Low Spender",IF(Dataset[[#This Row],[Total_Spent (€)]]&lt;25,"Medium Spender","High Spender"))</f>
        <v>Low Spender</v>
      </c>
    </row>
    <row r="385" spans="1:14" x14ac:dyDescent="0.2">
      <c r="A385" s="14" t="s">
        <v>264</v>
      </c>
      <c r="B385" s="11">
        <v>26</v>
      </c>
      <c r="C385" s="11" t="s">
        <v>843</v>
      </c>
      <c r="D385" s="11"/>
      <c r="F385" s="11" t="s">
        <v>263</v>
      </c>
      <c r="G385" s="11">
        <v>0</v>
      </c>
      <c r="H385" s="11">
        <v>5.53</v>
      </c>
      <c r="I385" s="11" t="str">
        <f>TEXT(Dataset[[#This Row],[Purchase_Date]],"[$-409]mmmm")</f>
        <v>January</v>
      </c>
      <c r="J385" s="12">
        <f>MONTH(Dataset[[#This Row],[Purchase_Date]])</f>
        <v>1</v>
      </c>
      <c r="K385" s="13" t="str">
        <f>TEXT(Dataset[[#This Row],[Purchase_Date]],"mm - [$-409]mmmm")</f>
        <v>01 - January</v>
      </c>
      <c r="L385" s="11" t="str">
        <f>IF(Dataset[[#This Row],[Purchase_Date]]="","",YEAR(Dataset[[#This Row],[Purchase_Date]]))</f>
        <v/>
      </c>
      <c r="M385" s="11" t="str" cm="1">
        <f t="array" ref="M385">_xlfn.IFS(B385&lt;=25, "Young Adults", B385&lt;=35, "Emerging Professionals", B385&lt;=50, "Established Adults", TRUE, "Mature Customers")</f>
        <v>Emerging Professionals</v>
      </c>
      <c r="N385" s="11" t="str">
        <f>IF(Dataset[[#This Row],[Total_Spent (€)]]&lt;10,"Low Spender",IF(Dataset[[#This Row],[Total_Spent (€)]]&lt;25,"Medium Spender","High Spender"))</f>
        <v>Low Spender</v>
      </c>
    </row>
    <row r="386" spans="1:14" x14ac:dyDescent="0.2">
      <c r="A386" s="14" t="s">
        <v>262</v>
      </c>
      <c r="B386" s="11">
        <v>48</v>
      </c>
      <c r="C386" s="11" t="s">
        <v>30</v>
      </c>
      <c r="D386" s="11">
        <v>27.21</v>
      </c>
      <c r="E386" s="11" t="s">
        <v>207</v>
      </c>
      <c r="F386" s="11" t="s">
        <v>108</v>
      </c>
      <c r="G386" s="11">
        <v>1</v>
      </c>
      <c r="H386" s="11">
        <v>9.39</v>
      </c>
      <c r="I386" s="11" t="str">
        <f>TEXT(Dataset[[#This Row],[Purchase_Date]],"[$-409]mmmm")</f>
        <v>May</v>
      </c>
      <c r="J386" s="12">
        <f>MONTH(Dataset[[#This Row],[Purchase_Date]])</f>
        <v>5</v>
      </c>
      <c r="K386" s="13" t="str">
        <f>TEXT(Dataset[[#This Row],[Purchase_Date]],"mm - [$-409]mmmm")</f>
        <v>05 - May</v>
      </c>
      <c r="L386" s="11">
        <f>IF(Dataset[[#This Row],[Purchase_Date]]="","",YEAR(Dataset[[#This Row],[Purchase_Date]]))</f>
        <v>2025</v>
      </c>
      <c r="M386" s="11" t="str" cm="1">
        <f t="array" ref="M386">_xlfn.IFS(B386&lt;=25, "Young Adults", B386&lt;=35, "Emerging Professionals", B386&lt;=50, "Established Adults", TRUE, "Mature Customers")</f>
        <v>Established Adults</v>
      </c>
      <c r="N386" s="11" t="str">
        <f>IF(Dataset[[#This Row],[Total_Spent (€)]]&lt;10,"Low Spender",IF(Dataset[[#This Row],[Total_Spent (€)]]&lt;25,"Medium Spender","High Spender"))</f>
        <v>High Spender</v>
      </c>
    </row>
    <row r="387" spans="1:14" x14ac:dyDescent="0.2">
      <c r="A387" s="14" t="s">
        <v>261</v>
      </c>
      <c r="B387" s="11">
        <v>25</v>
      </c>
      <c r="C387" s="11" t="s">
        <v>13</v>
      </c>
      <c r="D387" s="11"/>
      <c r="F387" s="11" t="s">
        <v>260</v>
      </c>
      <c r="G387" s="11">
        <v>0</v>
      </c>
      <c r="H387" s="11">
        <v>9.5299999999999994</v>
      </c>
      <c r="I387" s="11" t="str">
        <f>TEXT(Dataset[[#This Row],[Purchase_Date]],"[$-409]mmmm")</f>
        <v>January</v>
      </c>
      <c r="J387" s="12">
        <f>MONTH(Dataset[[#This Row],[Purchase_Date]])</f>
        <v>1</v>
      </c>
      <c r="K387" s="13" t="str">
        <f>TEXT(Dataset[[#This Row],[Purchase_Date]],"mm - [$-409]mmmm")</f>
        <v>01 - January</v>
      </c>
      <c r="L387" s="11" t="str">
        <f>IF(Dataset[[#This Row],[Purchase_Date]]="","",YEAR(Dataset[[#This Row],[Purchase_Date]]))</f>
        <v/>
      </c>
      <c r="M387" s="11" t="str" cm="1">
        <f t="array" ref="M387">_xlfn.IFS(B387&lt;=25, "Young Adults", B387&lt;=35, "Emerging Professionals", B387&lt;=50, "Established Adults", TRUE, "Mature Customers")</f>
        <v>Young Adults</v>
      </c>
      <c r="N387" s="11" t="str">
        <f>IF(Dataset[[#This Row],[Total_Spent (€)]]&lt;10,"Low Spender",IF(Dataset[[#This Row],[Total_Spent (€)]]&lt;25,"Medium Spender","High Spender"))</f>
        <v>Low Spender</v>
      </c>
    </row>
    <row r="388" spans="1:14" x14ac:dyDescent="0.2">
      <c r="A388" s="14" t="s">
        <v>259</v>
      </c>
      <c r="B388" s="11">
        <v>50</v>
      </c>
      <c r="C388" s="11" t="s">
        <v>20</v>
      </c>
      <c r="D388" s="11"/>
      <c r="F388" s="11" t="s">
        <v>258</v>
      </c>
      <c r="G388" s="11">
        <v>0</v>
      </c>
      <c r="H388" s="11">
        <v>9.65</v>
      </c>
      <c r="I388" s="11" t="str">
        <f>TEXT(Dataset[[#This Row],[Purchase_Date]],"[$-409]mmmm")</f>
        <v>January</v>
      </c>
      <c r="J388" s="12">
        <f>MONTH(Dataset[[#This Row],[Purchase_Date]])</f>
        <v>1</v>
      </c>
      <c r="K388" s="13" t="str">
        <f>TEXT(Dataset[[#This Row],[Purchase_Date]],"mm - [$-409]mmmm")</f>
        <v>01 - January</v>
      </c>
      <c r="L388" s="11" t="str">
        <f>IF(Dataset[[#This Row],[Purchase_Date]]="","",YEAR(Dataset[[#This Row],[Purchase_Date]]))</f>
        <v/>
      </c>
      <c r="M388" s="11" t="str" cm="1">
        <f t="array" ref="M388">_xlfn.IFS(B388&lt;=25, "Young Adults", B388&lt;=35, "Emerging Professionals", B388&lt;=50, "Established Adults", TRUE, "Mature Customers")</f>
        <v>Established Adults</v>
      </c>
      <c r="N388" s="11" t="str">
        <f>IF(Dataset[[#This Row],[Total_Spent (€)]]&lt;10,"Low Spender",IF(Dataset[[#This Row],[Total_Spent (€)]]&lt;25,"Medium Spender","High Spender"))</f>
        <v>Low Spender</v>
      </c>
    </row>
    <row r="389" spans="1:14" x14ac:dyDescent="0.2">
      <c r="A389" s="14" t="s">
        <v>257</v>
      </c>
      <c r="B389" s="11">
        <v>22</v>
      </c>
      <c r="C389" s="11" t="s">
        <v>842</v>
      </c>
      <c r="D389" s="11"/>
      <c r="F389" s="11" t="s">
        <v>256</v>
      </c>
      <c r="G389" s="11">
        <v>0</v>
      </c>
      <c r="H389" s="11">
        <v>2.72</v>
      </c>
      <c r="I389" s="11" t="str">
        <f>TEXT(Dataset[[#This Row],[Purchase_Date]],"[$-409]mmmm")</f>
        <v>January</v>
      </c>
      <c r="J389" s="12">
        <f>MONTH(Dataset[[#This Row],[Purchase_Date]])</f>
        <v>1</v>
      </c>
      <c r="K389" s="13" t="str">
        <f>TEXT(Dataset[[#This Row],[Purchase_Date]],"mm - [$-409]mmmm")</f>
        <v>01 - January</v>
      </c>
      <c r="L389" s="11" t="str">
        <f>IF(Dataset[[#This Row],[Purchase_Date]]="","",YEAR(Dataset[[#This Row],[Purchase_Date]]))</f>
        <v/>
      </c>
      <c r="M389" s="11" t="str" cm="1">
        <f t="array" ref="M389">_xlfn.IFS(B389&lt;=25, "Young Adults", B389&lt;=35, "Emerging Professionals", B389&lt;=50, "Established Adults", TRUE, "Mature Customers")</f>
        <v>Young Adults</v>
      </c>
      <c r="N389" s="11" t="str">
        <f>IF(Dataset[[#This Row],[Total_Spent (€)]]&lt;10,"Low Spender",IF(Dataset[[#This Row],[Total_Spent (€)]]&lt;25,"Medium Spender","High Spender"))</f>
        <v>Low Spender</v>
      </c>
    </row>
    <row r="390" spans="1:14" x14ac:dyDescent="0.2">
      <c r="A390" s="14" t="s">
        <v>255</v>
      </c>
      <c r="B390" s="11">
        <v>24</v>
      </c>
      <c r="C390" s="11" t="s">
        <v>61</v>
      </c>
      <c r="D390" s="11">
        <v>18.72</v>
      </c>
      <c r="E390" s="11" t="s">
        <v>28</v>
      </c>
      <c r="F390" s="11" t="s">
        <v>254</v>
      </c>
      <c r="G390" s="11">
        <v>1</v>
      </c>
      <c r="H390" s="11">
        <v>9.65</v>
      </c>
      <c r="I390" s="11" t="str">
        <f>TEXT(Dataset[[#This Row],[Purchase_Date]],"[$-409]mmmm")</f>
        <v>November</v>
      </c>
      <c r="J390" s="12">
        <f>MONTH(Dataset[[#This Row],[Purchase_Date]])</f>
        <v>11</v>
      </c>
      <c r="K390" s="13" t="str">
        <f>TEXT(Dataset[[#This Row],[Purchase_Date]],"mm - [$-409]mmmm")</f>
        <v>11 - November</v>
      </c>
      <c r="L390" s="11">
        <f>IF(Dataset[[#This Row],[Purchase_Date]]="","",YEAR(Dataset[[#This Row],[Purchase_Date]]))</f>
        <v>2024</v>
      </c>
      <c r="M390" s="11" t="str" cm="1">
        <f t="array" ref="M390">_xlfn.IFS(B390&lt;=25, "Young Adults", B390&lt;=35, "Emerging Professionals", B390&lt;=50, "Established Adults", TRUE, "Mature Customers")</f>
        <v>Young Adults</v>
      </c>
      <c r="N390" s="11" t="str">
        <f>IF(Dataset[[#This Row],[Total_Spent (€)]]&lt;10,"Low Spender",IF(Dataset[[#This Row],[Total_Spent (€)]]&lt;25,"Medium Spender","High Spender"))</f>
        <v>Medium Spender</v>
      </c>
    </row>
    <row r="391" spans="1:14" x14ac:dyDescent="0.2">
      <c r="A391" s="14" t="s">
        <v>253</v>
      </c>
      <c r="B391" s="11">
        <v>35</v>
      </c>
      <c r="C391" s="11" t="s">
        <v>61</v>
      </c>
      <c r="D391" s="11">
        <v>8.0299999999999994</v>
      </c>
      <c r="E391" s="11" t="s">
        <v>252</v>
      </c>
      <c r="F391" s="11" t="s">
        <v>60</v>
      </c>
      <c r="G391" s="11">
        <v>1</v>
      </c>
      <c r="H391" s="11">
        <v>4.1399999999999997</v>
      </c>
      <c r="I391" s="11" t="str">
        <f>TEXT(Dataset[[#This Row],[Purchase_Date]],"[$-409]mmmm")</f>
        <v>September</v>
      </c>
      <c r="J391" s="12">
        <f>MONTH(Dataset[[#This Row],[Purchase_Date]])</f>
        <v>9</v>
      </c>
      <c r="K391" s="13" t="str">
        <f>TEXT(Dataset[[#This Row],[Purchase_Date]],"mm - [$-409]mmmm")</f>
        <v>09 - September</v>
      </c>
      <c r="L391" s="11">
        <f>IF(Dataset[[#This Row],[Purchase_Date]]="","",YEAR(Dataset[[#This Row],[Purchase_Date]]))</f>
        <v>2024</v>
      </c>
      <c r="M391" s="11" t="str" cm="1">
        <f t="array" ref="M391">_xlfn.IFS(B391&lt;=25, "Young Adults", B391&lt;=35, "Emerging Professionals", B391&lt;=50, "Established Adults", TRUE, "Mature Customers")</f>
        <v>Emerging Professionals</v>
      </c>
      <c r="N391" s="11" t="str">
        <f>IF(Dataset[[#This Row],[Total_Spent (€)]]&lt;10,"Low Spender",IF(Dataset[[#This Row],[Total_Spent (€)]]&lt;25,"Medium Spender","High Spender"))</f>
        <v>Low Spender</v>
      </c>
    </row>
    <row r="392" spans="1:14" x14ac:dyDescent="0.2">
      <c r="A392" s="14" t="s">
        <v>251</v>
      </c>
      <c r="B392" s="11">
        <v>39</v>
      </c>
      <c r="C392" s="11" t="s">
        <v>9</v>
      </c>
      <c r="D392" s="11"/>
      <c r="F392" s="11" t="s">
        <v>250</v>
      </c>
      <c r="G392" s="11">
        <v>0</v>
      </c>
      <c r="H392" s="11">
        <v>9.84</v>
      </c>
      <c r="I392" s="11" t="str">
        <f>TEXT(Dataset[[#This Row],[Purchase_Date]],"[$-409]mmmm")</f>
        <v>January</v>
      </c>
      <c r="J392" s="12">
        <f>MONTH(Dataset[[#This Row],[Purchase_Date]])</f>
        <v>1</v>
      </c>
      <c r="K392" s="13" t="str">
        <f>TEXT(Dataset[[#This Row],[Purchase_Date]],"mm - [$-409]mmmm")</f>
        <v>01 - January</v>
      </c>
      <c r="L392" s="11" t="str">
        <f>IF(Dataset[[#This Row],[Purchase_Date]]="","",YEAR(Dataset[[#This Row],[Purchase_Date]]))</f>
        <v/>
      </c>
      <c r="M392" s="11" t="str" cm="1">
        <f t="array" ref="M392">_xlfn.IFS(B392&lt;=25, "Young Adults", B392&lt;=35, "Emerging Professionals", B392&lt;=50, "Established Adults", TRUE, "Mature Customers")</f>
        <v>Established Adults</v>
      </c>
      <c r="N392" s="11" t="str">
        <f>IF(Dataset[[#This Row],[Total_Spent (€)]]&lt;10,"Low Spender",IF(Dataset[[#This Row],[Total_Spent (€)]]&lt;25,"Medium Spender","High Spender"))</f>
        <v>Low Spender</v>
      </c>
    </row>
    <row r="393" spans="1:14" x14ac:dyDescent="0.2">
      <c r="A393" s="14" t="s">
        <v>249</v>
      </c>
      <c r="B393" s="11">
        <v>53</v>
      </c>
      <c r="C393" s="11" t="s">
        <v>841</v>
      </c>
      <c r="D393" s="11"/>
      <c r="F393" s="11" t="s">
        <v>248</v>
      </c>
      <c r="G393" s="11">
        <v>0</v>
      </c>
      <c r="H393" s="11">
        <v>3.88</v>
      </c>
      <c r="I393" s="11" t="str">
        <f>TEXT(Dataset[[#This Row],[Purchase_Date]],"[$-409]mmmm")</f>
        <v>January</v>
      </c>
      <c r="J393" s="12">
        <f>MONTH(Dataset[[#This Row],[Purchase_Date]])</f>
        <v>1</v>
      </c>
      <c r="K393" s="13" t="str">
        <f>TEXT(Dataset[[#This Row],[Purchase_Date]],"mm - [$-409]mmmm")</f>
        <v>01 - January</v>
      </c>
      <c r="L393" s="11" t="str">
        <f>IF(Dataset[[#This Row],[Purchase_Date]]="","",YEAR(Dataset[[#This Row],[Purchase_Date]]))</f>
        <v/>
      </c>
      <c r="M393" s="11" t="str" cm="1">
        <f t="array" ref="M393">_xlfn.IFS(B393&lt;=25, "Young Adults", B393&lt;=35, "Emerging Professionals", B393&lt;=50, "Established Adults", TRUE, "Mature Customers")</f>
        <v>Mature Customers</v>
      </c>
      <c r="N393" s="11" t="str">
        <f>IF(Dataset[[#This Row],[Total_Spent (€)]]&lt;10,"Low Spender",IF(Dataset[[#This Row],[Total_Spent (€)]]&lt;25,"Medium Spender","High Spender"))</f>
        <v>Low Spender</v>
      </c>
    </row>
    <row r="394" spans="1:14" x14ac:dyDescent="0.2">
      <c r="A394" s="14" t="s">
        <v>247</v>
      </c>
      <c r="B394" s="11">
        <v>49</v>
      </c>
      <c r="C394" s="11" t="s">
        <v>5</v>
      </c>
      <c r="D394" s="11"/>
      <c r="F394" s="11" t="s">
        <v>246</v>
      </c>
      <c r="G394" s="11">
        <v>0</v>
      </c>
      <c r="H394" s="11">
        <v>2.77</v>
      </c>
      <c r="I394" s="11" t="str">
        <f>TEXT(Dataset[[#This Row],[Purchase_Date]],"[$-409]mmmm")</f>
        <v>January</v>
      </c>
      <c r="J394" s="12">
        <f>MONTH(Dataset[[#This Row],[Purchase_Date]])</f>
        <v>1</v>
      </c>
      <c r="K394" s="13" t="str">
        <f>TEXT(Dataset[[#This Row],[Purchase_Date]],"mm - [$-409]mmmm")</f>
        <v>01 - January</v>
      </c>
      <c r="L394" s="11" t="str">
        <f>IF(Dataset[[#This Row],[Purchase_Date]]="","",YEAR(Dataset[[#This Row],[Purchase_Date]]))</f>
        <v/>
      </c>
      <c r="M394" s="11" t="str" cm="1">
        <f t="array" ref="M394">_xlfn.IFS(B394&lt;=25, "Young Adults", B394&lt;=35, "Emerging Professionals", B394&lt;=50, "Established Adults", TRUE, "Mature Customers")</f>
        <v>Established Adults</v>
      </c>
      <c r="N394" s="11" t="str">
        <f>IF(Dataset[[#This Row],[Total_Spent (€)]]&lt;10,"Low Spender",IF(Dataset[[#This Row],[Total_Spent (€)]]&lt;25,"Medium Spender","High Spender"))</f>
        <v>Low Spender</v>
      </c>
    </row>
    <row r="395" spans="1:14" x14ac:dyDescent="0.2">
      <c r="A395" s="14" t="s">
        <v>245</v>
      </c>
      <c r="B395" s="11">
        <v>37</v>
      </c>
      <c r="C395" s="11" t="s">
        <v>842</v>
      </c>
      <c r="D395" s="11"/>
      <c r="F395" s="11" t="s">
        <v>244</v>
      </c>
      <c r="G395" s="11">
        <v>0</v>
      </c>
      <c r="H395" s="11">
        <v>4.1100000000000003</v>
      </c>
      <c r="I395" s="11" t="str">
        <f>TEXT(Dataset[[#This Row],[Purchase_Date]],"[$-409]mmmm")</f>
        <v>January</v>
      </c>
      <c r="J395" s="12">
        <f>MONTH(Dataset[[#This Row],[Purchase_Date]])</f>
        <v>1</v>
      </c>
      <c r="K395" s="13" t="str">
        <f>TEXT(Dataset[[#This Row],[Purchase_Date]],"mm - [$-409]mmmm")</f>
        <v>01 - January</v>
      </c>
      <c r="L395" s="11" t="str">
        <f>IF(Dataset[[#This Row],[Purchase_Date]]="","",YEAR(Dataset[[#This Row],[Purchase_Date]]))</f>
        <v/>
      </c>
      <c r="M395" s="11" t="str" cm="1">
        <f t="array" ref="M395">_xlfn.IFS(B395&lt;=25, "Young Adults", B395&lt;=35, "Emerging Professionals", B395&lt;=50, "Established Adults", TRUE, "Mature Customers")</f>
        <v>Established Adults</v>
      </c>
      <c r="N395" s="11" t="str">
        <f>IF(Dataset[[#This Row],[Total_Spent (€)]]&lt;10,"Low Spender",IF(Dataset[[#This Row],[Total_Spent (€)]]&lt;25,"Medium Spender","High Spender"))</f>
        <v>Low Spender</v>
      </c>
    </row>
    <row r="396" spans="1:14" x14ac:dyDescent="0.2">
      <c r="A396" s="14" t="s">
        <v>243</v>
      </c>
      <c r="B396" s="11">
        <v>47</v>
      </c>
      <c r="C396" s="11" t="s">
        <v>847</v>
      </c>
      <c r="D396" s="11">
        <v>26.7</v>
      </c>
      <c r="E396" s="11" t="s">
        <v>0</v>
      </c>
      <c r="F396" s="11" t="s">
        <v>242</v>
      </c>
      <c r="G396" s="11">
        <v>1</v>
      </c>
      <c r="H396" s="11">
        <v>3.57</v>
      </c>
      <c r="I396" s="11" t="str">
        <f>TEXT(Dataset[[#This Row],[Purchase_Date]],"[$-409]mmmm")</f>
        <v>October</v>
      </c>
      <c r="J396" s="12">
        <f>MONTH(Dataset[[#This Row],[Purchase_Date]])</f>
        <v>10</v>
      </c>
      <c r="K396" s="13" t="str">
        <f>TEXT(Dataset[[#This Row],[Purchase_Date]],"mm - [$-409]mmmm")</f>
        <v>10 - October</v>
      </c>
      <c r="L396" s="11">
        <f>IF(Dataset[[#This Row],[Purchase_Date]]="","",YEAR(Dataset[[#This Row],[Purchase_Date]]))</f>
        <v>2024</v>
      </c>
      <c r="M396" s="11" t="str" cm="1">
        <f t="array" ref="M396">_xlfn.IFS(B396&lt;=25, "Young Adults", B396&lt;=35, "Emerging Professionals", B396&lt;=50, "Established Adults", TRUE, "Mature Customers")</f>
        <v>Established Adults</v>
      </c>
      <c r="N396" s="11" t="str">
        <f>IF(Dataset[[#This Row],[Total_Spent (€)]]&lt;10,"Low Spender",IF(Dataset[[#This Row],[Total_Spent (€)]]&lt;25,"Medium Spender","High Spender"))</f>
        <v>High Spender</v>
      </c>
    </row>
    <row r="397" spans="1:14" x14ac:dyDescent="0.2">
      <c r="A397" s="14" t="s">
        <v>241</v>
      </c>
      <c r="B397" s="11">
        <v>50</v>
      </c>
      <c r="C397" s="11" t="s">
        <v>152</v>
      </c>
      <c r="D397" s="11"/>
      <c r="F397" s="11" t="s">
        <v>35</v>
      </c>
      <c r="G397" s="11">
        <v>0</v>
      </c>
      <c r="H397" s="11">
        <v>9.9</v>
      </c>
      <c r="I397" s="11" t="str">
        <f>TEXT(Dataset[[#This Row],[Purchase_Date]],"[$-409]mmmm")</f>
        <v>January</v>
      </c>
      <c r="J397" s="12">
        <f>MONTH(Dataset[[#This Row],[Purchase_Date]])</f>
        <v>1</v>
      </c>
      <c r="K397" s="13" t="str">
        <f>TEXT(Dataset[[#This Row],[Purchase_Date]],"mm - [$-409]mmmm")</f>
        <v>01 - January</v>
      </c>
      <c r="L397" s="11" t="str">
        <f>IF(Dataset[[#This Row],[Purchase_Date]]="","",YEAR(Dataset[[#This Row],[Purchase_Date]]))</f>
        <v/>
      </c>
      <c r="M397" s="11" t="str" cm="1">
        <f t="array" ref="M397">_xlfn.IFS(B397&lt;=25, "Young Adults", B397&lt;=35, "Emerging Professionals", B397&lt;=50, "Established Adults", TRUE, "Mature Customers")</f>
        <v>Established Adults</v>
      </c>
      <c r="N397" s="11" t="str">
        <f>IF(Dataset[[#This Row],[Total_Spent (€)]]&lt;10,"Low Spender",IF(Dataset[[#This Row],[Total_Spent (€)]]&lt;25,"Medium Spender","High Spender"))</f>
        <v>Low Spender</v>
      </c>
    </row>
    <row r="398" spans="1:14" x14ac:dyDescent="0.2">
      <c r="A398" s="14" t="s">
        <v>240</v>
      </c>
      <c r="B398" s="11">
        <v>20</v>
      </c>
      <c r="C398" s="11" t="s">
        <v>61</v>
      </c>
      <c r="D398" s="11">
        <v>8.74</v>
      </c>
      <c r="E398" s="11" t="s">
        <v>162</v>
      </c>
      <c r="F398" s="11" t="s">
        <v>140</v>
      </c>
      <c r="G398" s="11">
        <v>1</v>
      </c>
      <c r="H398" s="11">
        <v>8.5399999999999991</v>
      </c>
      <c r="I398" s="11" t="str">
        <f>TEXT(Dataset[[#This Row],[Purchase_Date]],"[$-409]mmmm")</f>
        <v>December</v>
      </c>
      <c r="J398" s="12">
        <f>MONTH(Dataset[[#This Row],[Purchase_Date]])</f>
        <v>12</v>
      </c>
      <c r="K398" s="13" t="str">
        <f>TEXT(Dataset[[#This Row],[Purchase_Date]],"mm - [$-409]mmmm")</f>
        <v>12 - December</v>
      </c>
      <c r="L398" s="11">
        <f>IF(Dataset[[#This Row],[Purchase_Date]]="","",YEAR(Dataset[[#This Row],[Purchase_Date]]))</f>
        <v>2024</v>
      </c>
      <c r="M398" s="11" t="str" cm="1">
        <f t="array" ref="M398">_xlfn.IFS(B398&lt;=25, "Young Adults", B398&lt;=35, "Emerging Professionals", B398&lt;=50, "Established Adults", TRUE, "Mature Customers")</f>
        <v>Young Adults</v>
      </c>
      <c r="N398" s="11" t="str">
        <f>IF(Dataset[[#This Row],[Total_Spent (€)]]&lt;10,"Low Spender",IF(Dataset[[#This Row],[Total_Spent (€)]]&lt;25,"Medium Spender","High Spender"))</f>
        <v>Low Spender</v>
      </c>
    </row>
    <row r="399" spans="1:14" x14ac:dyDescent="0.2">
      <c r="A399" s="14" t="s">
        <v>239</v>
      </c>
      <c r="B399" s="11">
        <v>43</v>
      </c>
      <c r="C399" s="11" t="s">
        <v>842</v>
      </c>
      <c r="D399" s="11"/>
      <c r="F399" s="11" t="s">
        <v>238</v>
      </c>
      <c r="G399" s="11">
        <v>0</v>
      </c>
      <c r="H399" s="11">
        <v>3.51</v>
      </c>
      <c r="I399" s="11" t="str">
        <f>TEXT(Dataset[[#This Row],[Purchase_Date]],"[$-409]mmmm")</f>
        <v>January</v>
      </c>
      <c r="J399" s="12">
        <f>MONTH(Dataset[[#This Row],[Purchase_Date]])</f>
        <v>1</v>
      </c>
      <c r="K399" s="13" t="str">
        <f>TEXT(Dataset[[#This Row],[Purchase_Date]],"mm - [$-409]mmmm")</f>
        <v>01 - January</v>
      </c>
      <c r="L399" s="11" t="str">
        <f>IF(Dataset[[#This Row],[Purchase_Date]]="","",YEAR(Dataset[[#This Row],[Purchase_Date]]))</f>
        <v/>
      </c>
      <c r="M399" s="11" t="str" cm="1">
        <f t="array" ref="M399">_xlfn.IFS(B399&lt;=25, "Young Adults", B399&lt;=35, "Emerging Professionals", B399&lt;=50, "Established Adults", TRUE, "Mature Customers")</f>
        <v>Established Adults</v>
      </c>
      <c r="N399" s="11" t="str">
        <f>IF(Dataset[[#This Row],[Total_Spent (€)]]&lt;10,"Low Spender",IF(Dataset[[#This Row],[Total_Spent (€)]]&lt;25,"Medium Spender","High Spender"))</f>
        <v>Low Spender</v>
      </c>
    </row>
    <row r="400" spans="1:14" x14ac:dyDescent="0.2">
      <c r="A400" s="14" t="s">
        <v>237</v>
      </c>
      <c r="B400" s="11">
        <v>34</v>
      </c>
      <c r="C400" s="11" t="s">
        <v>845</v>
      </c>
      <c r="D400" s="11">
        <v>9.58</v>
      </c>
      <c r="E400" s="11" t="s">
        <v>130</v>
      </c>
      <c r="F400" s="11" t="s">
        <v>149</v>
      </c>
      <c r="G400" s="11">
        <v>1</v>
      </c>
      <c r="H400" s="11">
        <v>6.19</v>
      </c>
      <c r="I400" s="11" t="str">
        <f>TEXT(Dataset[[#This Row],[Purchase_Date]],"[$-409]mmmm")</f>
        <v>February</v>
      </c>
      <c r="J400" s="12">
        <f>MONTH(Dataset[[#This Row],[Purchase_Date]])</f>
        <v>2</v>
      </c>
      <c r="K400" s="13" t="str">
        <f>TEXT(Dataset[[#This Row],[Purchase_Date]],"mm - [$-409]mmmm")</f>
        <v>02 - February</v>
      </c>
      <c r="L400" s="11">
        <f>IF(Dataset[[#This Row],[Purchase_Date]]="","",YEAR(Dataset[[#This Row],[Purchase_Date]]))</f>
        <v>2025</v>
      </c>
      <c r="M400" s="11" t="str" cm="1">
        <f t="array" ref="M400">_xlfn.IFS(B400&lt;=25, "Young Adults", B400&lt;=35, "Emerging Professionals", B400&lt;=50, "Established Adults", TRUE, "Mature Customers")</f>
        <v>Emerging Professionals</v>
      </c>
      <c r="N400" s="11" t="str">
        <f>IF(Dataset[[#This Row],[Total_Spent (€)]]&lt;10,"Low Spender",IF(Dataset[[#This Row],[Total_Spent (€)]]&lt;25,"Medium Spender","High Spender"))</f>
        <v>Low Spender</v>
      </c>
    </row>
    <row r="401" spans="1:14" x14ac:dyDescent="0.2">
      <c r="A401" s="14" t="s">
        <v>236</v>
      </c>
      <c r="B401" s="11">
        <v>33</v>
      </c>
      <c r="C401" s="11" t="s">
        <v>840</v>
      </c>
      <c r="D401" s="11">
        <v>23.3</v>
      </c>
      <c r="E401" s="11" t="s">
        <v>235</v>
      </c>
      <c r="F401" s="11" t="s">
        <v>234</v>
      </c>
      <c r="G401" s="11">
        <v>1</v>
      </c>
      <c r="H401" s="11">
        <v>6.04</v>
      </c>
      <c r="I401" s="11" t="str">
        <f>TEXT(Dataset[[#This Row],[Purchase_Date]],"[$-409]mmmm")</f>
        <v>March</v>
      </c>
      <c r="J401" s="12">
        <f>MONTH(Dataset[[#This Row],[Purchase_Date]])</f>
        <v>3</v>
      </c>
      <c r="K401" s="13" t="str">
        <f>TEXT(Dataset[[#This Row],[Purchase_Date]],"mm - [$-409]mmmm")</f>
        <v>03 - March</v>
      </c>
      <c r="L401" s="11">
        <f>IF(Dataset[[#This Row],[Purchase_Date]]="","",YEAR(Dataset[[#This Row],[Purchase_Date]]))</f>
        <v>2025</v>
      </c>
      <c r="M401" s="11" t="str" cm="1">
        <f t="array" ref="M401">_xlfn.IFS(B401&lt;=25, "Young Adults", B401&lt;=35, "Emerging Professionals", B401&lt;=50, "Established Adults", TRUE, "Mature Customers")</f>
        <v>Emerging Professionals</v>
      </c>
      <c r="N401" s="11" t="str">
        <f>IF(Dataset[[#This Row],[Total_Spent (€)]]&lt;10,"Low Spender",IF(Dataset[[#This Row],[Total_Spent (€)]]&lt;25,"Medium Spender","High Spender"))</f>
        <v>Medium Spender</v>
      </c>
    </row>
    <row r="402" spans="1:14" x14ac:dyDescent="0.2">
      <c r="A402" s="14" t="s">
        <v>233</v>
      </c>
      <c r="B402" s="11">
        <v>53</v>
      </c>
      <c r="C402" s="11" t="s">
        <v>846</v>
      </c>
      <c r="D402" s="11">
        <v>38.450000000000003</v>
      </c>
      <c r="E402" s="11" t="s">
        <v>54</v>
      </c>
      <c r="F402" s="11" t="s">
        <v>128</v>
      </c>
      <c r="G402" s="11">
        <v>1</v>
      </c>
      <c r="H402" s="11">
        <v>5.0199999999999996</v>
      </c>
      <c r="I402" s="11" t="str">
        <f>TEXT(Dataset[[#This Row],[Purchase_Date]],"[$-409]mmmm")</f>
        <v>April</v>
      </c>
      <c r="J402" s="12">
        <f>MONTH(Dataset[[#This Row],[Purchase_Date]])</f>
        <v>4</v>
      </c>
      <c r="K402" s="13" t="str">
        <f>TEXT(Dataset[[#This Row],[Purchase_Date]],"mm - [$-409]mmmm")</f>
        <v>04 - April</v>
      </c>
      <c r="L402" s="11">
        <f>IF(Dataset[[#This Row],[Purchase_Date]]="","",YEAR(Dataset[[#This Row],[Purchase_Date]]))</f>
        <v>2025</v>
      </c>
      <c r="M402" s="11" t="str" cm="1">
        <f t="array" ref="M402">_xlfn.IFS(B402&lt;=25, "Young Adults", B402&lt;=35, "Emerging Professionals", B402&lt;=50, "Established Adults", TRUE, "Mature Customers")</f>
        <v>Mature Customers</v>
      </c>
      <c r="N402" s="11" t="str">
        <f>IF(Dataset[[#This Row],[Total_Spent (€)]]&lt;10,"Low Spender",IF(Dataset[[#This Row],[Total_Spent (€)]]&lt;25,"Medium Spender","High Spender"))</f>
        <v>High Spender</v>
      </c>
    </row>
    <row r="403" spans="1:14" x14ac:dyDescent="0.2">
      <c r="A403" s="14" t="s">
        <v>232</v>
      </c>
      <c r="B403" s="11">
        <v>29</v>
      </c>
      <c r="C403" s="11" t="s">
        <v>20</v>
      </c>
      <c r="D403" s="11"/>
      <c r="F403" s="11" t="s">
        <v>231</v>
      </c>
      <c r="G403" s="11">
        <v>0</v>
      </c>
      <c r="H403" s="11">
        <v>4.17</v>
      </c>
      <c r="I403" s="11" t="str">
        <f>TEXT(Dataset[[#This Row],[Purchase_Date]],"[$-409]mmmm")</f>
        <v>January</v>
      </c>
      <c r="J403" s="12">
        <f>MONTH(Dataset[[#This Row],[Purchase_Date]])</f>
        <v>1</v>
      </c>
      <c r="K403" s="13" t="str">
        <f>TEXT(Dataset[[#This Row],[Purchase_Date]],"mm - [$-409]mmmm")</f>
        <v>01 - January</v>
      </c>
      <c r="L403" s="11" t="str">
        <f>IF(Dataset[[#This Row],[Purchase_Date]]="","",YEAR(Dataset[[#This Row],[Purchase_Date]]))</f>
        <v/>
      </c>
      <c r="M403" s="11" t="str" cm="1">
        <f t="array" ref="M403">_xlfn.IFS(B403&lt;=25, "Young Adults", B403&lt;=35, "Emerging Professionals", B403&lt;=50, "Established Adults", TRUE, "Mature Customers")</f>
        <v>Emerging Professionals</v>
      </c>
      <c r="N403" s="11" t="str">
        <f>IF(Dataset[[#This Row],[Total_Spent (€)]]&lt;10,"Low Spender",IF(Dataset[[#This Row],[Total_Spent (€)]]&lt;25,"Medium Spender","High Spender"))</f>
        <v>Low Spender</v>
      </c>
    </row>
    <row r="404" spans="1:14" x14ac:dyDescent="0.2">
      <c r="A404" s="14" t="s">
        <v>230</v>
      </c>
      <c r="B404" s="11">
        <v>31</v>
      </c>
      <c r="C404" s="11" t="s">
        <v>9</v>
      </c>
      <c r="D404" s="11"/>
      <c r="F404" s="11" t="s">
        <v>229</v>
      </c>
      <c r="G404" s="11">
        <v>0</v>
      </c>
      <c r="H404" s="11">
        <v>6.17</v>
      </c>
      <c r="I404" s="11" t="str">
        <f>TEXT(Dataset[[#This Row],[Purchase_Date]],"[$-409]mmmm")</f>
        <v>January</v>
      </c>
      <c r="J404" s="12">
        <f>MONTH(Dataset[[#This Row],[Purchase_Date]])</f>
        <v>1</v>
      </c>
      <c r="K404" s="13" t="str">
        <f>TEXT(Dataset[[#This Row],[Purchase_Date]],"mm - [$-409]mmmm")</f>
        <v>01 - January</v>
      </c>
      <c r="L404" s="11" t="str">
        <f>IF(Dataset[[#This Row],[Purchase_Date]]="","",YEAR(Dataset[[#This Row],[Purchase_Date]]))</f>
        <v/>
      </c>
      <c r="M404" s="11" t="str" cm="1">
        <f t="array" ref="M404">_xlfn.IFS(B404&lt;=25, "Young Adults", B404&lt;=35, "Emerging Professionals", B404&lt;=50, "Established Adults", TRUE, "Mature Customers")</f>
        <v>Emerging Professionals</v>
      </c>
      <c r="N404" s="11" t="str">
        <f>IF(Dataset[[#This Row],[Total_Spent (€)]]&lt;10,"Low Spender",IF(Dataset[[#This Row],[Total_Spent (€)]]&lt;25,"Medium Spender","High Spender"))</f>
        <v>Low Spender</v>
      </c>
    </row>
    <row r="405" spans="1:14" x14ac:dyDescent="0.2">
      <c r="A405" s="14" t="s">
        <v>228</v>
      </c>
      <c r="B405" s="11">
        <v>48</v>
      </c>
      <c r="C405" s="11" t="s">
        <v>75</v>
      </c>
      <c r="D405" s="11">
        <v>10.33</v>
      </c>
      <c r="E405" s="11" t="s">
        <v>227</v>
      </c>
      <c r="F405" s="11" t="s">
        <v>55</v>
      </c>
      <c r="G405" s="11">
        <v>1</v>
      </c>
      <c r="H405" s="11">
        <v>5.81</v>
      </c>
      <c r="I405" s="11" t="str">
        <f>TEXT(Dataset[[#This Row],[Purchase_Date]],"[$-409]mmmm")</f>
        <v>May</v>
      </c>
      <c r="J405" s="12">
        <f>MONTH(Dataset[[#This Row],[Purchase_Date]])</f>
        <v>5</v>
      </c>
      <c r="K405" s="13" t="str">
        <f>TEXT(Dataset[[#This Row],[Purchase_Date]],"mm - [$-409]mmmm")</f>
        <v>05 - May</v>
      </c>
      <c r="L405" s="11">
        <f>IF(Dataset[[#This Row],[Purchase_Date]]="","",YEAR(Dataset[[#This Row],[Purchase_Date]]))</f>
        <v>2025</v>
      </c>
      <c r="M405" s="11" t="str" cm="1">
        <f t="array" ref="M405">_xlfn.IFS(B405&lt;=25, "Young Adults", B405&lt;=35, "Emerging Professionals", B405&lt;=50, "Established Adults", TRUE, "Mature Customers")</f>
        <v>Established Adults</v>
      </c>
      <c r="N405" s="11" t="str">
        <f>IF(Dataset[[#This Row],[Total_Spent (€)]]&lt;10,"Low Spender",IF(Dataset[[#This Row],[Total_Spent (€)]]&lt;25,"Medium Spender","High Spender"))</f>
        <v>Medium Spender</v>
      </c>
    </row>
    <row r="406" spans="1:14" x14ac:dyDescent="0.2">
      <c r="A406" s="14" t="s">
        <v>226</v>
      </c>
      <c r="B406" s="11">
        <v>37</v>
      </c>
      <c r="C406" s="11" t="s">
        <v>847</v>
      </c>
      <c r="D406" s="11">
        <v>29.84</v>
      </c>
      <c r="E406" s="11" t="s">
        <v>225</v>
      </c>
      <c r="F406" s="11" t="s">
        <v>221</v>
      </c>
      <c r="G406" s="11">
        <v>1</v>
      </c>
      <c r="H406" s="11">
        <v>9.59</v>
      </c>
      <c r="I406" s="11" t="str">
        <f>TEXT(Dataset[[#This Row],[Purchase_Date]],"[$-409]mmmm")</f>
        <v>October</v>
      </c>
      <c r="J406" s="12">
        <f>MONTH(Dataset[[#This Row],[Purchase_Date]])</f>
        <v>10</v>
      </c>
      <c r="K406" s="13" t="str">
        <f>TEXT(Dataset[[#This Row],[Purchase_Date]],"mm - [$-409]mmmm")</f>
        <v>10 - October</v>
      </c>
      <c r="L406" s="11">
        <f>IF(Dataset[[#This Row],[Purchase_Date]]="","",YEAR(Dataset[[#This Row],[Purchase_Date]]))</f>
        <v>2024</v>
      </c>
      <c r="M406" s="11" t="str" cm="1">
        <f t="array" ref="M406">_xlfn.IFS(B406&lt;=25, "Young Adults", B406&lt;=35, "Emerging Professionals", B406&lt;=50, "Established Adults", TRUE, "Mature Customers")</f>
        <v>Established Adults</v>
      </c>
      <c r="N406" s="11" t="str">
        <f>IF(Dataset[[#This Row],[Total_Spent (€)]]&lt;10,"Low Spender",IF(Dataset[[#This Row],[Total_Spent (€)]]&lt;25,"Medium Spender","High Spender"))</f>
        <v>High Spender</v>
      </c>
    </row>
    <row r="407" spans="1:14" x14ac:dyDescent="0.2">
      <c r="A407" s="14" t="s">
        <v>224</v>
      </c>
      <c r="B407" s="11">
        <v>29</v>
      </c>
      <c r="C407" s="11" t="s">
        <v>844</v>
      </c>
      <c r="D407" s="11">
        <v>9.7100000000000009</v>
      </c>
      <c r="E407" s="11" t="s">
        <v>108</v>
      </c>
      <c r="F407" s="11" t="s">
        <v>223</v>
      </c>
      <c r="G407" s="11">
        <v>1</v>
      </c>
      <c r="H407" s="11">
        <v>7.51</v>
      </c>
      <c r="I407" s="11" t="str">
        <f>TEXT(Dataset[[#This Row],[Purchase_Date]],"[$-409]mmmm")</f>
        <v>May</v>
      </c>
      <c r="J407" s="12">
        <f>MONTH(Dataset[[#This Row],[Purchase_Date]])</f>
        <v>5</v>
      </c>
      <c r="K407" s="13" t="str">
        <f>TEXT(Dataset[[#This Row],[Purchase_Date]],"mm - [$-409]mmmm")</f>
        <v>05 - May</v>
      </c>
      <c r="L407" s="11">
        <f>IF(Dataset[[#This Row],[Purchase_Date]]="","",YEAR(Dataset[[#This Row],[Purchase_Date]]))</f>
        <v>2025</v>
      </c>
      <c r="M407" s="11" t="str" cm="1">
        <f t="array" ref="M407">_xlfn.IFS(B407&lt;=25, "Young Adults", B407&lt;=35, "Emerging Professionals", B407&lt;=50, "Established Adults", TRUE, "Mature Customers")</f>
        <v>Emerging Professionals</v>
      </c>
      <c r="N407" s="11" t="str">
        <f>IF(Dataset[[#This Row],[Total_Spent (€)]]&lt;10,"Low Spender",IF(Dataset[[#This Row],[Total_Spent (€)]]&lt;25,"Medium Spender","High Spender"))</f>
        <v>Low Spender</v>
      </c>
    </row>
    <row r="408" spans="1:14" x14ac:dyDescent="0.2">
      <c r="A408" s="14" t="s">
        <v>222</v>
      </c>
      <c r="B408" s="11">
        <v>48</v>
      </c>
      <c r="C408" s="11" t="s">
        <v>38</v>
      </c>
      <c r="D408" s="11">
        <v>18.3</v>
      </c>
      <c r="E408" s="11" t="s">
        <v>221</v>
      </c>
      <c r="F408" s="11" t="s">
        <v>89</v>
      </c>
      <c r="G408" s="11">
        <v>1</v>
      </c>
      <c r="H408" s="11">
        <v>4.5999999999999996</v>
      </c>
      <c r="I408" s="11" t="str">
        <f>TEXT(Dataset[[#This Row],[Purchase_Date]],"[$-409]mmmm")</f>
        <v>October</v>
      </c>
      <c r="J408" s="12">
        <f>MONTH(Dataset[[#This Row],[Purchase_Date]])</f>
        <v>10</v>
      </c>
      <c r="K408" s="13" t="str">
        <f>TEXT(Dataset[[#This Row],[Purchase_Date]],"mm - [$-409]mmmm")</f>
        <v>10 - October</v>
      </c>
      <c r="L408" s="11">
        <f>IF(Dataset[[#This Row],[Purchase_Date]]="","",YEAR(Dataset[[#This Row],[Purchase_Date]]))</f>
        <v>2024</v>
      </c>
      <c r="M408" s="11" t="str" cm="1">
        <f t="array" ref="M408">_xlfn.IFS(B408&lt;=25, "Young Adults", B408&lt;=35, "Emerging Professionals", B408&lt;=50, "Established Adults", TRUE, "Mature Customers")</f>
        <v>Established Adults</v>
      </c>
      <c r="N408" s="11" t="str">
        <f>IF(Dataset[[#This Row],[Total_Spent (€)]]&lt;10,"Low Spender",IF(Dataset[[#This Row],[Total_Spent (€)]]&lt;25,"Medium Spender","High Spender"))</f>
        <v>Medium Spender</v>
      </c>
    </row>
    <row r="409" spans="1:14" x14ac:dyDescent="0.2">
      <c r="A409" s="14" t="s">
        <v>220</v>
      </c>
      <c r="B409" s="11">
        <v>21</v>
      </c>
      <c r="C409" s="11" t="s">
        <v>840</v>
      </c>
      <c r="D409" s="11"/>
      <c r="F409" s="11" t="s">
        <v>164</v>
      </c>
      <c r="G409" s="11">
        <v>0</v>
      </c>
      <c r="H409" s="11">
        <v>9.2799999999999994</v>
      </c>
      <c r="I409" s="11" t="str">
        <f>TEXT(Dataset[[#This Row],[Purchase_Date]],"[$-409]mmmm")</f>
        <v>January</v>
      </c>
      <c r="J409" s="12">
        <f>MONTH(Dataset[[#This Row],[Purchase_Date]])</f>
        <v>1</v>
      </c>
      <c r="K409" s="13" t="str">
        <f>TEXT(Dataset[[#This Row],[Purchase_Date]],"mm - [$-409]mmmm")</f>
        <v>01 - January</v>
      </c>
      <c r="L409" s="11" t="str">
        <f>IF(Dataset[[#This Row],[Purchase_Date]]="","",YEAR(Dataset[[#This Row],[Purchase_Date]]))</f>
        <v/>
      </c>
      <c r="M409" s="11" t="str" cm="1">
        <f t="array" ref="M409">_xlfn.IFS(B409&lt;=25, "Young Adults", B409&lt;=35, "Emerging Professionals", B409&lt;=50, "Established Adults", TRUE, "Mature Customers")</f>
        <v>Young Adults</v>
      </c>
      <c r="N409" s="11" t="str">
        <f>IF(Dataset[[#This Row],[Total_Spent (€)]]&lt;10,"Low Spender",IF(Dataset[[#This Row],[Total_Spent (€)]]&lt;25,"Medium Spender","High Spender"))</f>
        <v>Low Spender</v>
      </c>
    </row>
    <row r="410" spans="1:14" x14ac:dyDescent="0.2">
      <c r="A410" s="14" t="s">
        <v>219</v>
      </c>
      <c r="B410" s="11">
        <v>52</v>
      </c>
      <c r="C410" s="11" t="s">
        <v>847</v>
      </c>
      <c r="D410" s="11"/>
      <c r="F410" s="11" t="s">
        <v>218</v>
      </c>
      <c r="G410" s="11">
        <v>0</v>
      </c>
      <c r="H410" s="11">
        <v>9.6300000000000008</v>
      </c>
      <c r="I410" s="11" t="str">
        <f>TEXT(Dataset[[#This Row],[Purchase_Date]],"[$-409]mmmm")</f>
        <v>January</v>
      </c>
      <c r="J410" s="12">
        <f>MONTH(Dataset[[#This Row],[Purchase_Date]])</f>
        <v>1</v>
      </c>
      <c r="K410" s="13" t="str">
        <f>TEXT(Dataset[[#This Row],[Purchase_Date]],"mm - [$-409]mmmm")</f>
        <v>01 - January</v>
      </c>
      <c r="L410" s="11" t="str">
        <f>IF(Dataset[[#This Row],[Purchase_Date]]="","",YEAR(Dataset[[#This Row],[Purchase_Date]]))</f>
        <v/>
      </c>
      <c r="M410" s="11" t="str" cm="1">
        <f t="array" ref="M410">_xlfn.IFS(B410&lt;=25, "Young Adults", B410&lt;=35, "Emerging Professionals", B410&lt;=50, "Established Adults", TRUE, "Mature Customers")</f>
        <v>Mature Customers</v>
      </c>
      <c r="N410" s="11" t="str">
        <f>IF(Dataset[[#This Row],[Total_Spent (€)]]&lt;10,"Low Spender",IF(Dataset[[#This Row],[Total_Spent (€)]]&lt;25,"Medium Spender","High Spender"))</f>
        <v>Low Spender</v>
      </c>
    </row>
    <row r="411" spans="1:14" x14ac:dyDescent="0.2">
      <c r="A411" s="14" t="s">
        <v>217</v>
      </c>
      <c r="B411" s="11">
        <v>50</v>
      </c>
      <c r="C411" s="11" t="s">
        <v>86</v>
      </c>
      <c r="D411" s="11"/>
      <c r="F411" s="11" t="s">
        <v>216</v>
      </c>
      <c r="G411" s="11">
        <v>0</v>
      </c>
      <c r="H411" s="11">
        <v>9.92</v>
      </c>
      <c r="I411" s="11" t="str">
        <f>TEXT(Dataset[[#This Row],[Purchase_Date]],"[$-409]mmmm")</f>
        <v>January</v>
      </c>
      <c r="J411" s="12">
        <f>MONTH(Dataset[[#This Row],[Purchase_Date]])</f>
        <v>1</v>
      </c>
      <c r="K411" s="13" t="str">
        <f>TEXT(Dataset[[#This Row],[Purchase_Date]],"mm - [$-409]mmmm")</f>
        <v>01 - January</v>
      </c>
      <c r="L411" s="11" t="str">
        <f>IF(Dataset[[#This Row],[Purchase_Date]]="","",YEAR(Dataset[[#This Row],[Purchase_Date]]))</f>
        <v/>
      </c>
      <c r="M411" s="11" t="str" cm="1">
        <f t="array" ref="M411">_xlfn.IFS(B411&lt;=25, "Young Adults", B411&lt;=35, "Emerging Professionals", B411&lt;=50, "Established Adults", TRUE, "Mature Customers")</f>
        <v>Established Adults</v>
      </c>
      <c r="N411" s="11" t="str">
        <f>IF(Dataset[[#This Row],[Total_Spent (€)]]&lt;10,"Low Spender",IF(Dataset[[#This Row],[Total_Spent (€)]]&lt;25,"Medium Spender","High Spender"))</f>
        <v>Low Spender</v>
      </c>
    </row>
    <row r="412" spans="1:14" x14ac:dyDescent="0.2">
      <c r="A412" s="14" t="s">
        <v>215</v>
      </c>
      <c r="B412" s="11">
        <v>39</v>
      </c>
      <c r="C412" s="11" t="s">
        <v>842</v>
      </c>
      <c r="D412" s="11">
        <v>9.7100000000000009</v>
      </c>
      <c r="E412" s="11" t="s">
        <v>57</v>
      </c>
      <c r="F412" s="11" t="s">
        <v>214</v>
      </c>
      <c r="G412" s="11">
        <v>1</v>
      </c>
      <c r="H412" s="11">
        <v>5.0999999999999996</v>
      </c>
      <c r="I412" s="11" t="str">
        <f>TEXT(Dataset[[#This Row],[Purchase_Date]],"[$-409]mmmm")</f>
        <v>February</v>
      </c>
      <c r="J412" s="12">
        <f>MONTH(Dataset[[#This Row],[Purchase_Date]])</f>
        <v>2</v>
      </c>
      <c r="K412" s="13" t="str">
        <f>TEXT(Dataset[[#This Row],[Purchase_Date]],"mm - [$-409]mmmm")</f>
        <v>02 - February</v>
      </c>
      <c r="L412" s="11">
        <f>IF(Dataset[[#This Row],[Purchase_Date]]="","",YEAR(Dataset[[#This Row],[Purchase_Date]]))</f>
        <v>2025</v>
      </c>
      <c r="M412" s="11" t="str" cm="1">
        <f t="array" ref="M412">_xlfn.IFS(B412&lt;=25, "Young Adults", B412&lt;=35, "Emerging Professionals", B412&lt;=50, "Established Adults", TRUE, "Mature Customers")</f>
        <v>Established Adults</v>
      </c>
      <c r="N412" s="11" t="str">
        <f>IF(Dataset[[#This Row],[Total_Spent (€)]]&lt;10,"Low Spender",IF(Dataset[[#This Row],[Total_Spent (€)]]&lt;25,"Medium Spender","High Spender"))</f>
        <v>Low Spender</v>
      </c>
    </row>
    <row r="413" spans="1:14" x14ac:dyDescent="0.2">
      <c r="A413" s="14" t="s">
        <v>213</v>
      </c>
      <c r="B413" s="11">
        <v>27</v>
      </c>
      <c r="C413" s="11" t="s">
        <v>20</v>
      </c>
      <c r="D413" s="11"/>
      <c r="F413" s="11" t="s">
        <v>212</v>
      </c>
      <c r="G413" s="11">
        <v>0</v>
      </c>
      <c r="H413" s="11">
        <v>7.01</v>
      </c>
      <c r="I413" s="11" t="str">
        <f>TEXT(Dataset[[#This Row],[Purchase_Date]],"[$-409]mmmm")</f>
        <v>January</v>
      </c>
      <c r="J413" s="12">
        <f>MONTH(Dataset[[#This Row],[Purchase_Date]])</f>
        <v>1</v>
      </c>
      <c r="K413" s="13" t="str">
        <f>TEXT(Dataset[[#This Row],[Purchase_Date]],"mm - [$-409]mmmm")</f>
        <v>01 - January</v>
      </c>
      <c r="L413" s="11" t="str">
        <f>IF(Dataset[[#This Row],[Purchase_Date]]="","",YEAR(Dataset[[#This Row],[Purchase_Date]]))</f>
        <v/>
      </c>
      <c r="M413" s="11" t="str" cm="1">
        <f t="array" ref="M413">_xlfn.IFS(B413&lt;=25, "Young Adults", B413&lt;=35, "Emerging Professionals", B413&lt;=50, "Established Adults", TRUE, "Mature Customers")</f>
        <v>Emerging Professionals</v>
      </c>
      <c r="N413" s="11" t="str">
        <f>IF(Dataset[[#This Row],[Total_Spent (€)]]&lt;10,"Low Spender",IF(Dataset[[#This Row],[Total_Spent (€)]]&lt;25,"Medium Spender","High Spender"))</f>
        <v>Low Spender</v>
      </c>
    </row>
    <row r="414" spans="1:14" x14ac:dyDescent="0.2">
      <c r="A414" s="14" t="s">
        <v>211</v>
      </c>
      <c r="B414" s="11">
        <v>40</v>
      </c>
      <c r="C414" s="11" t="s">
        <v>61</v>
      </c>
      <c r="D414" s="11">
        <v>17.48</v>
      </c>
      <c r="E414" s="11" t="s">
        <v>210</v>
      </c>
      <c r="F414" s="11" t="s">
        <v>209</v>
      </c>
      <c r="G414" s="11">
        <v>1</v>
      </c>
      <c r="H414" s="11">
        <v>8.19</v>
      </c>
      <c r="I414" s="11" t="str">
        <f>TEXT(Dataset[[#This Row],[Purchase_Date]],"[$-409]mmmm")</f>
        <v>April</v>
      </c>
      <c r="J414" s="12">
        <f>MONTH(Dataset[[#This Row],[Purchase_Date]])</f>
        <v>4</v>
      </c>
      <c r="K414" s="13" t="str">
        <f>TEXT(Dataset[[#This Row],[Purchase_Date]],"mm - [$-409]mmmm")</f>
        <v>04 - April</v>
      </c>
      <c r="L414" s="11">
        <f>IF(Dataset[[#This Row],[Purchase_Date]]="","",YEAR(Dataset[[#This Row],[Purchase_Date]]))</f>
        <v>2025</v>
      </c>
      <c r="M414" s="11" t="str" cm="1">
        <f t="array" ref="M414">_xlfn.IFS(B414&lt;=25, "Young Adults", B414&lt;=35, "Emerging Professionals", B414&lt;=50, "Established Adults", TRUE, "Mature Customers")</f>
        <v>Established Adults</v>
      </c>
      <c r="N414" s="11" t="str">
        <f>IF(Dataset[[#This Row],[Total_Spent (€)]]&lt;10,"Low Spender",IF(Dataset[[#This Row],[Total_Spent (€)]]&lt;25,"Medium Spender","High Spender"))</f>
        <v>Medium Spender</v>
      </c>
    </row>
    <row r="415" spans="1:14" x14ac:dyDescent="0.2">
      <c r="A415" s="14" t="s">
        <v>208</v>
      </c>
      <c r="B415" s="11">
        <v>39</v>
      </c>
      <c r="C415" s="11" t="s">
        <v>846</v>
      </c>
      <c r="D415" s="11">
        <v>36.99</v>
      </c>
      <c r="E415" s="11" t="s">
        <v>207</v>
      </c>
      <c r="F415" s="11" t="s">
        <v>108</v>
      </c>
      <c r="G415" s="11">
        <v>1</v>
      </c>
      <c r="H415" s="11">
        <v>2.4300000000000002</v>
      </c>
      <c r="I415" s="11" t="str">
        <f>TEXT(Dataset[[#This Row],[Purchase_Date]],"[$-409]mmmm")</f>
        <v>May</v>
      </c>
      <c r="J415" s="12">
        <f>MONTH(Dataset[[#This Row],[Purchase_Date]])</f>
        <v>5</v>
      </c>
      <c r="K415" s="13" t="str">
        <f>TEXT(Dataset[[#This Row],[Purchase_Date]],"mm - [$-409]mmmm")</f>
        <v>05 - May</v>
      </c>
      <c r="L415" s="11">
        <f>IF(Dataset[[#This Row],[Purchase_Date]]="","",YEAR(Dataset[[#This Row],[Purchase_Date]]))</f>
        <v>2025</v>
      </c>
      <c r="M415" s="11" t="str" cm="1">
        <f t="array" ref="M415">_xlfn.IFS(B415&lt;=25, "Young Adults", B415&lt;=35, "Emerging Professionals", B415&lt;=50, "Established Adults", TRUE, "Mature Customers")</f>
        <v>Established Adults</v>
      </c>
      <c r="N415" s="11" t="str">
        <f>IF(Dataset[[#This Row],[Total_Spent (€)]]&lt;10,"Low Spender",IF(Dataset[[#This Row],[Total_Spent (€)]]&lt;25,"Medium Spender","High Spender"))</f>
        <v>High Spender</v>
      </c>
    </row>
    <row r="416" spans="1:14" x14ac:dyDescent="0.2">
      <c r="A416" s="14" t="s">
        <v>206</v>
      </c>
      <c r="B416" s="11">
        <v>41</v>
      </c>
      <c r="C416" s="11" t="s">
        <v>846</v>
      </c>
      <c r="D416" s="11"/>
      <c r="F416" s="11" t="s">
        <v>205</v>
      </c>
      <c r="G416" s="11">
        <v>0</v>
      </c>
      <c r="H416" s="11">
        <v>3.87</v>
      </c>
      <c r="I416" s="11" t="str">
        <f>TEXT(Dataset[[#This Row],[Purchase_Date]],"[$-409]mmmm")</f>
        <v>January</v>
      </c>
      <c r="J416" s="12">
        <f>MONTH(Dataset[[#This Row],[Purchase_Date]])</f>
        <v>1</v>
      </c>
      <c r="K416" s="13" t="str">
        <f>TEXT(Dataset[[#This Row],[Purchase_Date]],"mm - [$-409]mmmm")</f>
        <v>01 - January</v>
      </c>
      <c r="L416" s="11" t="str">
        <f>IF(Dataset[[#This Row],[Purchase_Date]]="","",YEAR(Dataset[[#This Row],[Purchase_Date]]))</f>
        <v/>
      </c>
      <c r="M416" s="11" t="str" cm="1">
        <f t="array" ref="M416">_xlfn.IFS(B416&lt;=25, "Young Adults", B416&lt;=35, "Emerging Professionals", B416&lt;=50, "Established Adults", TRUE, "Mature Customers")</f>
        <v>Established Adults</v>
      </c>
      <c r="N416" s="11" t="str">
        <f>IF(Dataset[[#This Row],[Total_Spent (€)]]&lt;10,"Low Spender",IF(Dataset[[#This Row],[Total_Spent (€)]]&lt;25,"Medium Spender","High Spender"))</f>
        <v>Low Spender</v>
      </c>
    </row>
    <row r="417" spans="1:14" x14ac:dyDescent="0.2">
      <c r="A417" s="14" t="s">
        <v>204</v>
      </c>
      <c r="B417" s="11">
        <v>44</v>
      </c>
      <c r="C417" s="11" t="s">
        <v>17</v>
      </c>
      <c r="D417" s="11"/>
      <c r="F417" s="11" t="s">
        <v>203</v>
      </c>
      <c r="G417" s="11">
        <v>0</v>
      </c>
      <c r="H417" s="11">
        <v>8.4499999999999993</v>
      </c>
      <c r="I417" s="11" t="str">
        <f>TEXT(Dataset[[#This Row],[Purchase_Date]],"[$-409]mmmm")</f>
        <v>January</v>
      </c>
      <c r="J417" s="12">
        <f>MONTH(Dataset[[#This Row],[Purchase_Date]])</f>
        <v>1</v>
      </c>
      <c r="K417" s="13" t="str">
        <f>TEXT(Dataset[[#This Row],[Purchase_Date]],"mm - [$-409]mmmm")</f>
        <v>01 - January</v>
      </c>
      <c r="L417" s="11" t="str">
        <f>IF(Dataset[[#This Row],[Purchase_Date]]="","",YEAR(Dataset[[#This Row],[Purchase_Date]]))</f>
        <v/>
      </c>
      <c r="M417" s="11" t="str" cm="1">
        <f t="array" ref="M417">_xlfn.IFS(B417&lt;=25, "Young Adults", B417&lt;=35, "Emerging Professionals", B417&lt;=50, "Established Adults", TRUE, "Mature Customers")</f>
        <v>Established Adults</v>
      </c>
      <c r="N417" s="11" t="str">
        <f>IF(Dataset[[#This Row],[Total_Spent (€)]]&lt;10,"Low Spender",IF(Dataset[[#This Row],[Total_Spent (€)]]&lt;25,"Medium Spender","High Spender"))</f>
        <v>Low Spender</v>
      </c>
    </row>
    <row r="418" spans="1:14" x14ac:dyDescent="0.2">
      <c r="A418" s="14" t="s">
        <v>202</v>
      </c>
      <c r="B418" s="11">
        <v>21</v>
      </c>
      <c r="C418" s="11" t="s">
        <v>847</v>
      </c>
      <c r="D418" s="11">
        <v>9.7799999999999994</v>
      </c>
      <c r="E418" s="11" t="s">
        <v>89</v>
      </c>
      <c r="F418" s="11" t="s">
        <v>180</v>
      </c>
      <c r="G418" s="11">
        <v>1</v>
      </c>
      <c r="H418" s="11">
        <v>8.06</v>
      </c>
      <c r="I418" s="11" t="str">
        <f>TEXT(Dataset[[#This Row],[Purchase_Date]],"[$-409]mmmm")</f>
        <v>September</v>
      </c>
      <c r="J418" s="12">
        <f>MONTH(Dataset[[#This Row],[Purchase_Date]])</f>
        <v>9</v>
      </c>
      <c r="K418" s="13" t="str">
        <f>TEXT(Dataset[[#This Row],[Purchase_Date]],"mm - [$-409]mmmm")</f>
        <v>09 - September</v>
      </c>
      <c r="L418" s="11">
        <f>IF(Dataset[[#This Row],[Purchase_Date]]="","",YEAR(Dataset[[#This Row],[Purchase_Date]]))</f>
        <v>2024</v>
      </c>
      <c r="M418" s="11" t="str" cm="1">
        <f t="array" ref="M418">_xlfn.IFS(B418&lt;=25, "Young Adults", B418&lt;=35, "Emerging Professionals", B418&lt;=50, "Established Adults", TRUE, "Mature Customers")</f>
        <v>Young Adults</v>
      </c>
      <c r="N418" s="11" t="str">
        <f>IF(Dataset[[#This Row],[Total_Spent (€)]]&lt;10,"Low Spender",IF(Dataset[[#This Row],[Total_Spent (€)]]&lt;25,"Medium Spender","High Spender"))</f>
        <v>Low Spender</v>
      </c>
    </row>
    <row r="419" spans="1:14" x14ac:dyDescent="0.2">
      <c r="A419" s="14" t="s">
        <v>201</v>
      </c>
      <c r="B419" s="11">
        <v>30</v>
      </c>
      <c r="C419" s="11" t="s">
        <v>840</v>
      </c>
      <c r="D419" s="11"/>
      <c r="F419" s="11" t="s">
        <v>200</v>
      </c>
      <c r="G419" s="11">
        <v>0</v>
      </c>
      <c r="H419" s="11">
        <v>9.24</v>
      </c>
      <c r="I419" s="11" t="str">
        <f>TEXT(Dataset[[#This Row],[Purchase_Date]],"[$-409]mmmm")</f>
        <v>January</v>
      </c>
      <c r="J419" s="12">
        <f>MONTH(Dataset[[#This Row],[Purchase_Date]])</f>
        <v>1</v>
      </c>
      <c r="K419" s="13" t="str">
        <f>TEXT(Dataset[[#This Row],[Purchase_Date]],"mm - [$-409]mmmm")</f>
        <v>01 - January</v>
      </c>
      <c r="L419" s="11" t="str">
        <f>IF(Dataset[[#This Row],[Purchase_Date]]="","",YEAR(Dataset[[#This Row],[Purchase_Date]]))</f>
        <v/>
      </c>
      <c r="M419" s="11" t="str" cm="1">
        <f t="array" ref="M419">_xlfn.IFS(B419&lt;=25, "Young Adults", B419&lt;=35, "Emerging Professionals", B419&lt;=50, "Established Adults", TRUE, "Mature Customers")</f>
        <v>Emerging Professionals</v>
      </c>
      <c r="N419" s="11" t="str">
        <f>IF(Dataset[[#This Row],[Total_Spent (€)]]&lt;10,"Low Spender",IF(Dataset[[#This Row],[Total_Spent (€)]]&lt;25,"Medium Spender","High Spender"))</f>
        <v>Low Spender</v>
      </c>
    </row>
    <row r="420" spans="1:14" x14ac:dyDescent="0.2">
      <c r="A420" s="14" t="s">
        <v>199</v>
      </c>
      <c r="B420" s="11">
        <v>53</v>
      </c>
      <c r="C420" s="11" t="s">
        <v>842</v>
      </c>
      <c r="D420" s="11">
        <v>21.21</v>
      </c>
      <c r="E420" s="11" t="s">
        <v>198</v>
      </c>
      <c r="F420" s="11" t="s">
        <v>164</v>
      </c>
      <c r="G420" s="11">
        <v>1</v>
      </c>
      <c r="H420" s="11">
        <v>8.23</v>
      </c>
      <c r="I420" s="11" t="str">
        <f>TEXT(Dataset[[#This Row],[Purchase_Date]],"[$-409]mmmm")</f>
        <v>November</v>
      </c>
      <c r="J420" s="12">
        <f>MONTH(Dataset[[#This Row],[Purchase_Date]])</f>
        <v>11</v>
      </c>
      <c r="K420" s="13" t="str">
        <f>TEXT(Dataset[[#This Row],[Purchase_Date]],"mm - [$-409]mmmm")</f>
        <v>11 - November</v>
      </c>
      <c r="L420" s="11">
        <f>IF(Dataset[[#This Row],[Purchase_Date]]="","",YEAR(Dataset[[#This Row],[Purchase_Date]]))</f>
        <v>2024</v>
      </c>
      <c r="M420" s="11" t="str" cm="1">
        <f t="array" ref="M420">_xlfn.IFS(B420&lt;=25, "Young Adults", B420&lt;=35, "Emerging Professionals", B420&lt;=50, "Established Adults", TRUE, "Mature Customers")</f>
        <v>Mature Customers</v>
      </c>
      <c r="N420" s="11" t="str">
        <f>IF(Dataset[[#This Row],[Total_Spent (€)]]&lt;10,"Low Spender",IF(Dataset[[#This Row],[Total_Spent (€)]]&lt;25,"Medium Spender","High Spender"))</f>
        <v>Medium Spender</v>
      </c>
    </row>
    <row r="421" spans="1:14" x14ac:dyDescent="0.2">
      <c r="A421" s="14" t="s">
        <v>197</v>
      </c>
      <c r="B421" s="11">
        <v>24</v>
      </c>
      <c r="C421" s="11" t="s">
        <v>847</v>
      </c>
      <c r="D421" s="11">
        <v>16.329999999999998</v>
      </c>
      <c r="E421" s="11" t="s">
        <v>196</v>
      </c>
      <c r="F421" s="11" t="s">
        <v>195</v>
      </c>
      <c r="G421" s="11">
        <v>1</v>
      </c>
      <c r="H421" s="11">
        <v>4.24</v>
      </c>
      <c r="I421" s="11" t="str">
        <f>TEXT(Dataset[[#This Row],[Purchase_Date]],"[$-409]mmmm")</f>
        <v>December</v>
      </c>
      <c r="J421" s="12">
        <f>MONTH(Dataset[[#This Row],[Purchase_Date]])</f>
        <v>12</v>
      </c>
      <c r="K421" s="13" t="str">
        <f>TEXT(Dataset[[#This Row],[Purchase_Date]],"mm - [$-409]mmmm")</f>
        <v>12 - December</v>
      </c>
      <c r="L421" s="11">
        <f>IF(Dataset[[#This Row],[Purchase_Date]]="","",YEAR(Dataset[[#This Row],[Purchase_Date]]))</f>
        <v>2024</v>
      </c>
      <c r="M421" s="11" t="str" cm="1">
        <f t="array" ref="M421">_xlfn.IFS(B421&lt;=25, "Young Adults", B421&lt;=35, "Emerging Professionals", B421&lt;=50, "Established Adults", TRUE, "Mature Customers")</f>
        <v>Young Adults</v>
      </c>
      <c r="N421" s="11" t="str">
        <f>IF(Dataset[[#This Row],[Total_Spent (€)]]&lt;10,"Low Spender",IF(Dataset[[#This Row],[Total_Spent (€)]]&lt;25,"Medium Spender","High Spender"))</f>
        <v>Medium Spender</v>
      </c>
    </row>
    <row r="422" spans="1:14" x14ac:dyDescent="0.2">
      <c r="A422" s="14" t="s">
        <v>194</v>
      </c>
      <c r="B422" s="11">
        <v>22</v>
      </c>
      <c r="C422" s="11" t="s">
        <v>38</v>
      </c>
      <c r="D422" s="11"/>
      <c r="F422" s="11" t="s">
        <v>193</v>
      </c>
      <c r="G422" s="11">
        <v>0</v>
      </c>
      <c r="H422" s="11">
        <v>2.98</v>
      </c>
      <c r="I422" s="11" t="str">
        <f>TEXT(Dataset[[#This Row],[Purchase_Date]],"[$-409]mmmm")</f>
        <v>January</v>
      </c>
      <c r="J422" s="12">
        <f>MONTH(Dataset[[#This Row],[Purchase_Date]])</f>
        <v>1</v>
      </c>
      <c r="K422" s="13" t="str">
        <f>TEXT(Dataset[[#This Row],[Purchase_Date]],"mm - [$-409]mmmm")</f>
        <v>01 - January</v>
      </c>
      <c r="L422" s="11" t="str">
        <f>IF(Dataset[[#This Row],[Purchase_Date]]="","",YEAR(Dataset[[#This Row],[Purchase_Date]]))</f>
        <v/>
      </c>
      <c r="M422" s="11" t="str" cm="1">
        <f t="array" ref="M422">_xlfn.IFS(B422&lt;=25, "Young Adults", B422&lt;=35, "Emerging Professionals", B422&lt;=50, "Established Adults", TRUE, "Mature Customers")</f>
        <v>Young Adults</v>
      </c>
      <c r="N422" s="11" t="str">
        <f>IF(Dataset[[#This Row],[Total_Spent (€)]]&lt;10,"Low Spender",IF(Dataset[[#This Row],[Total_Spent (€)]]&lt;25,"Medium Spender","High Spender"))</f>
        <v>Low Spender</v>
      </c>
    </row>
    <row r="423" spans="1:14" x14ac:dyDescent="0.2">
      <c r="A423" s="14" t="s">
        <v>192</v>
      </c>
      <c r="B423" s="11">
        <v>51</v>
      </c>
      <c r="C423" s="11" t="s">
        <v>840</v>
      </c>
      <c r="D423" s="11"/>
      <c r="F423" s="11" t="s">
        <v>47</v>
      </c>
      <c r="G423" s="11">
        <v>0</v>
      </c>
      <c r="H423" s="11">
        <v>3.28</v>
      </c>
      <c r="I423" s="11" t="str">
        <f>TEXT(Dataset[[#This Row],[Purchase_Date]],"[$-409]mmmm")</f>
        <v>January</v>
      </c>
      <c r="J423" s="12">
        <f>MONTH(Dataset[[#This Row],[Purchase_Date]])</f>
        <v>1</v>
      </c>
      <c r="K423" s="13" t="str">
        <f>TEXT(Dataset[[#This Row],[Purchase_Date]],"mm - [$-409]mmmm")</f>
        <v>01 - January</v>
      </c>
      <c r="L423" s="11" t="str">
        <f>IF(Dataset[[#This Row],[Purchase_Date]]="","",YEAR(Dataset[[#This Row],[Purchase_Date]]))</f>
        <v/>
      </c>
      <c r="M423" s="11" t="str" cm="1">
        <f t="array" ref="M423">_xlfn.IFS(B423&lt;=25, "Young Adults", B423&lt;=35, "Emerging Professionals", B423&lt;=50, "Established Adults", TRUE, "Mature Customers")</f>
        <v>Mature Customers</v>
      </c>
      <c r="N423" s="11" t="str">
        <f>IF(Dataset[[#This Row],[Total_Spent (€)]]&lt;10,"Low Spender",IF(Dataset[[#This Row],[Total_Spent (€)]]&lt;25,"Medium Spender","High Spender"))</f>
        <v>Low Spender</v>
      </c>
    </row>
    <row r="424" spans="1:14" x14ac:dyDescent="0.2">
      <c r="A424" s="14" t="s">
        <v>191</v>
      </c>
      <c r="B424" s="11">
        <v>39</v>
      </c>
      <c r="C424" s="11" t="s">
        <v>9</v>
      </c>
      <c r="D424" s="11"/>
      <c r="F424" s="11" t="s">
        <v>190</v>
      </c>
      <c r="G424" s="11">
        <v>0</v>
      </c>
      <c r="H424" s="11">
        <v>4.03</v>
      </c>
      <c r="I424" s="11" t="str">
        <f>TEXT(Dataset[[#This Row],[Purchase_Date]],"[$-409]mmmm")</f>
        <v>January</v>
      </c>
      <c r="J424" s="12">
        <f>MONTH(Dataset[[#This Row],[Purchase_Date]])</f>
        <v>1</v>
      </c>
      <c r="K424" s="13" t="str">
        <f>TEXT(Dataset[[#This Row],[Purchase_Date]],"mm - [$-409]mmmm")</f>
        <v>01 - January</v>
      </c>
      <c r="L424" s="11" t="str">
        <f>IF(Dataset[[#This Row],[Purchase_Date]]="","",YEAR(Dataset[[#This Row],[Purchase_Date]]))</f>
        <v/>
      </c>
      <c r="M424" s="11" t="str" cm="1">
        <f t="array" ref="M424">_xlfn.IFS(B424&lt;=25, "Young Adults", B424&lt;=35, "Emerging Professionals", B424&lt;=50, "Established Adults", TRUE, "Mature Customers")</f>
        <v>Established Adults</v>
      </c>
      <c r="N424" s="11" t="str">
        <f>IF(Dataset[[#This Row],[Total_Spent (€)]]&lt;10,"Low Spender",IF(Dataset[[#This Row],[Total_Spent (€)]]&lt;25,"Medium Spender","High Spender"))</f>
        <v>Low Spender</v>
      </c>
    </row>
    <row r="425" spans="1:14" x14ac:dyDescent="0.2">
      <c r="A425" s="14" t="s">
        <v>189</v>
      </c>
      <c r="B425" s="11">
        <v>36</v>
      </c>
      <c r="C425" s="11" t="s">
        <v>840</v>
      </c>
      <c r="D425" s="11"/>
      <c r="F425" s="11" t="s">
        <v>188</v>
      </c>
      <c r="G425" s="11">
        <v>0</v>
      </c>
      <c r="H425" s="11">
        <v>9.5399999999999991</v>
      </c>
      <c r="I425" s="11" t="str">
        <f>TEXT(Dataset[[#This Row],[Purchase_Date]],"[$-409]mmmm")</f>
        <v>January</v>
      </c>
      <c r="J425" s="12">
        <f>MONTH(Dataset[[#This Row],[Purchase_Date]])</f>
        <v>1</v>
      </c>
      <c r="K425" s="13" t="str">
        <f>TEXT(Dataset[[#This Row],[Purchase_Date]],"mm - [$-409]mmmm")</f>
        <v>01 - January</v>
      </c>
      <c r="L425" s="11" t="str">
        <f>IF(Dataset[[#This Row],[Purchase_Date]]="","",YEAR(Dataset[[#This Row],[Purchase_Date]]))</f>
        <v/>
      </c>
      <c r="M425" s="11" t="str" cm="1">
        <f t="array" ref="M425">_xlfn.IFS(B425&lt;=25, "Young Adults", B425&lt;=35, "Emerging Professionals", B425&lt;=50, "Established Adults", TRUE, "Mature Customers")</f>
        <v>Established Adults</v>
      </c>
      <c r="N425" s="11" t="str">
        <f>IF(Dataset[[#This Row],[Total_Spent (€)]]&lt;10,"Low Spender",IF(Dataset[[#This Row],[Total_Spent (€)]]&lt;25,"Medium Spender","High Spender"))</f>
        <v>Low Spender</v>
      </c>
    </row>
    <row r="426" spans="1:14" x14ac:dyDescent="0.2">
      <c r="A426" s="14" t="s">
        <v>187</v>
      </c>
      <c r="B426" s="11">
        <v>47</v>
      </c>
      <c r="C426" s="11" t="s">
        <v>43</v>
      </c>
      <c r="D426" s="11"/>
      <c r="F426" s="11" t="s">
        <v>164</v>
      </c>
      <c r="G426" s="11">
        <v>0</v>
      </c>
      <c r="H426" s="11">
        <v>9.67</v>
      </c>
      <c r="I426" s="11" t="str">
        <f>TEXT(Dataset[[#This Row],[Purchase_Date]],"[$-409]mmmm")</f>
        <v>January</v>
      </c>
      <c r="J426" s="12">
        <f>MONTH(Dataset[[#This Row],[Purchase_Date]])</f>
        <v>1</v>
      </c>
      <c r="K426" s="13" t="str">
        <f>TEXT(Dataset[[#This Row],[Purchase_Date]],"mm - [$-409]mmmm")</f>
        <v>01 - January</v>
      </c>
      <c r="L426" s="11" t="str">
        <f>IF(Dataset[[#This Row],[Purchase_Date]]="","",YEAR(Dataset[[#This Row],[Purchase_Date]]))</f>
        <v/>
      </c>
      <c r="M426" s="11" t="str" cm="1">
        <f t="array" ref="M426">_xlfn.IFS(B426&lt;=25, "Young Adults", B426&lt;=35, "Emerging Professionals", B426&lt;=50, "Established Adults", TRUE, "Mature Customers")</f>
        <v>Established Adults</v>
      </c>
      <c r="N426" s="11" t="str">
        <f>IF(Dataset[[#This Row],[Total_Spent (€)]]&lt;10,"Low Spender",IF(Dataset[[#This Row],[Total_Spent (€)]]&lt;25,"Medium Spender","High Spender"))</f>
        <v>Low Spender</v>
      </c>
    </row>
    <row r="427" spans="1:14" x14ac:dyDescent="0.2">
      <c r="A427" s="14" t="s">
        <v>186</v>
      </c>
      <c r="B427" s="11">
        <v>45</v>
      </c>
      <c r="C427" s="11" t="s">
        <v>38</v>
      </c>
      <c r="D427" s="11">
        <v>18.440000000000001</v>
      </c>
      <c r="E427" s="11" t="s">
        <v>185</v>
      </c>
      <c r="F427" s="11" t="s">
        <v>95</v>
      </c>
      <c r="G427" s="11">
        <v>1</v>
      </c>
      <c r="H427" s="11">
        <v>8.73</v>
      </c>
      <c r="I427" s="11" t="str">
        <f>TEXT(Dataset[[#This Row],[Purchase_Date]],"[$-409]mmmm")</f>
        <v>March</v>
      </c>
      <c r="J427" s="12">
        <f>MONTH(Dataset[[#This Row],[Purchase_Date]])</f>
        <v>3</v>
      </c>
      <c r="K427" s="13" t="str">
        <f>TEXT(Dataset[[#This Row],[Purchase_Date]],"mm - [$-409]mmmm")</f>
        <v>03 - March</v>
      </c>
      <c r="L427" s="11">
        <f>IF(Dataset[[#This Row],[Purchase_Date]]="","",YEAR(Dataset[[#This Row],[Purchase_Date]]))</f>
        <v>2025</v>
      </c>
      <c r="M427" s="11" t="str" cm="1">
        <f t="array" ref="M427">_xlfn.IFS(B427&lt;=25, "Young Adults", B427&lt;=35, "Emerging Professionals", B427&lt;=50, "Established Adults", TRUE, "Mature Customers")</f>
        <v>Established Adults</v>
      </c>
      <c r="N427" s="11" t="str">
        <f>IF(Dataset[[#This Row],[Total_Spent (€)]]&lt;10,"Low Spender",IF(Dataset[[#This Row],[Total_Spent (€)]]&lt;25,"Medium Spender","High Spender"))</f>
        <v>Medium Spender</v>
      </c>
    </row>
    <row r="428" spans="1:14" x14ac:dyDescent="0.2">
      <c r="A428" s="14" t="s">
        <v>184</v>
      </c>
      <c r="B428" s="11">
        <v>48</v>
      </c>
      <c r="C428" s="11" t="s">
        <v>17</v>
      </c>
      <c r="D428" s="11">
        <v>17.21</v>
      </c>
      <c r="E428" s="11" t="s">
        <v>183</v>
      </c>
      <c r="F428" s="11" t="s">
        <v>182</v>
      </c>
      <c r="G428" s="11">
        <v>1</v>
      </c>
      <c r="H428" s="11">
        <v>2.06</v>
      </c>
      <c r="I428" s="11" t="str">
        <f>TEXT(Dataset[[#This Row],[Purchase_Date]],"[$-409]mmmm")</f>
        <v>April</v>
      </c>
      <c r="J428" s="12">
        <f>MONTH(Dataset[[#This Row],[Purchase_Date]])</f>
        <v>4</v>
      </c>
      <c r="K428" s="13" t="str">
        <f>TEXT(Dataset[[#This Row],[Purchase_Date]],"mm - [$-409]mmmm")</f>
        <v>04 - April</v>
      </c>
      <c r="L428" s="11">
        <f>IF(Dataset[[#This Row],[Purchase_Date]]="","",YEAR(Dataset[[#This Row],[Purchase_Date]]))</f>
        <v>2025</v>
      </c>
      <c r="M428" s="11" t="str" cm="1">
        <f t="array" ref="M428">_xlfn.IFS(B428&lt;=25, "Young Adults", B428&lt;=35, "Emerging Professionals", B428&lt;=50, "Established Adults", TRUE, "Mature Customers")</f>
        <v>Established Adults</v>
      </c>
      <c r="N428" s="11" t="str">
        <f>IF(Dataset[[#This Row],[Total_Spent (€)]]&lt;10,"Low Spender",IF(Dataset[[#This Row],[Total_Spent (€)]]&lt;25,"Medium Spender","High Spender"))</f>
        <v>Medium Spender</v>
      </c>
    </row>
    <row r="429" spans="1:14" x14ac:dyDescent="0.2">
      <c r="A429" s="14" t="s">
        <v>181</v>
      </c>
      <c r="B429" s="11">
        <v>38</v>
      </c>
      <c r="C429" s="11" t="s">
        <v>86</v>
      </c>
      <c r="D429" s="11">
        <v>14.18</v>
      </c>
      <c r="E429" s="11" t="s">
        <v>180</v>
      </c>
      <c r="F429" s="11" t="s">
        <v>146</v>
      </c>
      <c r="G429" s="11">
        <v>1</v>
      </c>
      <c r="H429" s="11">
        <v>4.6100000000000003</v>
      </c>
      <c r="I429" s="11" t="str">
        <f>TEXT(Dataset[[#This Row],[Purchase_Date]],"[$-409]mmmm")</f>
        <v>August</v>
      </c>
      <c r="J429" s="12">
        <f>MONTH(Dataset[[#This Row],[Purchase_Date]])</f>
        <v>8</v>
      </c>
      <c r="K429" s="13" t="str">
        <f>TEXT(Dataset[[#This Row],[Purchase_Date]],"mm - [$-409]mmmm")</f>
        <v>08 - August</v>
      </c>
      <c r="L429" s="11">
        <f>IF(Dataset[[#This Row],[Purchase_Date]]="","",YEAR(Dataset[[#This Row],[Purchase_Date]]))</f>
        <v>2024</v>
      </c>
      <c r="M429" s="11" t="str" cm="1">
        <f t="array" ref="M429">_xlfn.IFS(B429&lt;=25, "Young Adults", B429&lt;=35, "Emerging Professionals", B429&lt;=50, "Established Adults", TRUE, "Mature Customers")</f>
        <v>Established Adults</v>
      </c>
      <c r="N429" s="11" t="str">
        <f>IF(Dataset[[#This Row],[Total_Spent (€)]]&lt;10,"Low Spender",IF(Dataset[[#This Row],[Total_Spent (€)]]&lt;25,"Medium Spender","High Spender"))</f>
        <v>Medium Spender</v>
      </c>
    </row>
    <row r="430" spans="1:14" x14ac:dyDescent="0.2">
      <c r="A430" s="14" t="s">
        <v>179</v>
      </c>
      <c r="B430" s="11">
        <v>32</v>
      </c>
      <c r="C430" s="11" t="s">
        <v>30</v>
      </c>
      <c r="D430" s="11"/>
      <c r="F430" s="11" t="s">
        <v>128</v>
      </c>
      <c r="G430" s="11">
        <v>0</v>
      </c>
      <c r="H430" s="11">
        <v>5.76</v>
      </c>
      <c r="I430" s="11" t="str">
        <f>TEXT(Dataset[[#This Row],[Purchase_Date]],"[$-409]mmmm")</f>
        <v>January</v>
      </c>
      <c r="J430" s="12">
        <f>MONTH(Dataset[[#This Row],[Purchase_Date]])</f>
        <v>1</v>
      </c>
      <c r="K430" s="13" t="str">
        <f>TEXT(Dataset[[#This Row],[Purchase_Date]],"mm - [$-409]mmmm")</f>
        <v>01 - January</v>
      </c>
      <c r="L430" s="11" t="str">
        <f>IF(Dataset[[#This Row],[Purchase_Date]]="","",YEAR(Dataset[[#This Row],[Purchase_Date]]))</f>
        <v/>
      </c>
      <c r="M430" s="11" t="str" cm="1">
        <f t="array" ref="M430">_xlfn.IFS(B430&lt;=25, "Young Adults", B430&lt;=35, "Emerging Professionals", B430&lt;=50, "Established Adults", TRUE, "Mature Customers")</f>
        <v>Emerging Professionals</v>
      </c>
      <c r="N430" s="11" t="str">
        <f>IF(Dataset[[#This Row],[Total_Spent (€)]]&lt;10,"Low Spender",IF(Dataset[[#This Row],[Total_Spent (€)]]&lt;25,"Medium Spender","High Spender"))</f>
        <v>Low Spender</v>
      </c>
    </row>
    <row r="431" spans="1:14" x14ac:dyDescent="0.2">
      <c r="A431" s="14" t="s">
        <v>178</v>
      </c>
      <c r="B431" s="11">
        <v>41</v>
      </c>
      <c r="C431" s="11" t="s">
        <v>75</v>
      </c>
      <c r="D431" s="11"/>
      <c r="F431" s="11" t="s">
        <v>54</v>
      </c>
      <c r="G431" s="11">
        <v>0</v>
      </c>
      <c r="H431" s="11">
        <v>8.44</v>
      </c>
      <c r="I431" s="11" t="str">
        <f>TEXT(Dataset[[#This Row],[Purchase_Date]],"[$-409]mmmm")</f>
        <v>January</v>
      </c>
      <c r="J431" s="12">
        <f>MONTH(Dataset[[#This Row],[Purchase_Date]])</f>
        <v>1</v>
      </c>
      <c r="K431" s="13" t="str">
        <f>TEXT(Dataset[[#This Row],[Purchase_Date]],"mm - [$-409]mmmm")</f>
        <v>01 - January</v>
      </c>
      <c r="L431" s="11" t="str">
        <f>IF(Dataset[[#This Row],[Purchase_Date]]="","",YEAR(Dataset[[#This Row],[Purchase_Date]]))</f>
        <v/>
      </c>
      <c r="M431" s="11" t="str" cm="1">
        <f t="array" ref="M431">_xlfn.IFS(B431&lt;=25, "Young Adults", B431&lt;=35, "Emerging Professionals", B431&lt;=50, "Established Adults", TRUE, "Mature Customers")</f>
        <v>Established Adults</v>
      </c>
      <c r="N431" s="11" t="str">
        <f>IF(Dataset[[#This Row],[Total_Spent (€)]]&lt;10,"Low Spender",IF(Dataset[[#This Row],[Total_Spent (€)]]&lt;25,"Medium Spender","High Spender"))</f>
        <v>Low Spender</v>
      </c>
    </row>
    <row r="432" spans="1:14" x14ac:dyDescent="0.2">
      <c r="A432" s="14" t="s">
        <v>177</v>
      </c>
      <c r="B432" s="11">
        <v>48</v>
      </c>
      <c r="C432" s="11" t="s">
        <v>844</v>
      </c>
      <c r="D432" s="11"/>
      <c r="F432" s="11" t="s">
        <v>176</v>
      </c>
      <c r="G432" s="11">
        <v>0</v>
      </c>
      <c r="H432" s="11">
        <v>3.34</v>
      </c>
      <c r="I432" s="11" t="str">
        <f>TEXT(Dataset[[#This Row],[Purchase_Date]],"[$-409]mmmm")</f>
        <v>January</v>
      </c>
      <c r="J432" s="12">
        <f>MONTH(Dataset[[#This Row],[Purchase_Date]])</f>
        <v>1</v>
      </c>
      <c r="K432" s="13" t="str">
        <f>TEXT(Dataset[[#This Row],[Purchase_Date]],"mm - [$-409]mmmm")</f>
        <v>01 - January</v>
      </c>
      <c r="L432" s="11" t="str">
        <f>IF(Dataset[[#This Row],[Purchase_Date]]="","",YEAR(Dataset[[#This Row],[Purchase_Date]]))</f>
        <v/>
      </c>
      <c r="M432" s="11" t="str" cm="1">
        <f t="array" ref="M432">_xlfn.IFS(B432&lt;=25, "Young Adults", B432&lt;=35, "Emerging Professionals", B432&lt;=50, "Established Adults", TRUE, "Mature Customers")</f>
        <v>Established Adults</v>
      </c>
      <c r="N432" s="11" t="str">
        <f>IF(Dataset[[#This Row],[Total_Spent (€)]]&lt;10,"Low Spender",IF(Dataset[[#This Row],[Total_Spent (€)]]&lt;25,"Medium Spender","High Spender"))</f>
        <v>Low Spender</v>
      </c>
    </row>
    <row r="433" spans="1:14" x14ac:dyDescent="0.2">
      <c r="A433" s="14" t="s">
        <v>175</v>
      </c>
      <c r="B433" s="11">
        <v>29</v>
      </c>
      <c r="C433" s="11" t="s">
        <v>43</v>
      </c>
      <c r="D433" s="11">
        <v>8.5500000000000007</v>
      </c>
      <c r="E433" s="11" t="s">
        <v>106</v>
      </c>
      <c r="F433" s="11" t="s">
        <v>174</v>
      </c>
      <c r="G433" s="11">
        <v>1</v>
      </c>
      <c r="H433" s="11">
        <v>2.56</v>
      </c>
      <c r="I433" s="11" t="str">
        <f>TEXT(Dataset[[#This Row],[Purchase_Date]],"[$-409]mmmm")</f>
        <v>April</v>
      </c>
      <c r="J433" s="12">
        <f>MONTH(Dataset[[#This Row],[Purchase_Date]])</f>
        <v>4</v>
      </c>
      <c r="K433" s="13" t="str">
        <f>TEXT(Dataset[[#This Row],[Purchase_Date]],"mm - [$-409]mmmm")</f>
        <v>04 - April</v>
      </c>
      <c r="L433" s="11">
        <f>IF(Dataset[[#This Row],[Purchase_Date]]="","",YEAR(Dataset[[#This Row],[Purchase_Date]]))</f>
        <v>2025</v>
      </c>
      <c r="M433" s="11" t="str" cm="1">
        <f t="array" ref="M433">_xlfn.IFS(B433&lt;=25, "Young Adults", B433&lt;=35, "Emerging Professionals", B433&lt;=50, "Established Adults", TRUE, "Mature Customers")</f>
        <v>Emerging Professionals</v>
      </c>
      <c r="N433" s="11" t="str">
        <f>IF(Dataset[[#This Row],[Total_Spent (€)]]&lt;10,"Low Spender",IF(Dataset[[#This Row],[Total_Spent (€)]]&lt;25,"Medium Spender","High Spender"))</f>
        <v>Low Spender</v>
      </c>
    </row>
    <row r="434" spans="1:14" x14ac:dyDescent="0.2">
      <c r="A434" s="14" t="s">
        <v>173</v>
      </c>
      <c r="B434" s="11">
        <v>22</v>
      </c>
      <c r="C434" s="11" t="s">
        <v>9</v>
      </c>
      <c r="D434" s="11"/>
      <c r="F434" s="11" t="s">
        <v>172</v>
      </c>
      <c r="G434" s="11">
        <v>0</v>
      </c>
      <c r="H434" s="11">
        <v>7.85</v>
      </c>
      <c r="I434" s="11" t="str">
        <f>TEXT(Dataset[[#This Row],[Purchase_Date]],"[$-409]mmmm")</f>
        <v>January</v>
      </c>
      <c r="J434" s="12">
        <f>MONTH(Dataset[[#This Row],[Purchase_Date]])</f>
        <v>1</v>
      </c>
      <c r="K434" s="13" t="str">
        <f>TEXT(Dataset[[#This Row],[Purchase_Date]],"mm - [$-409]mmmm")</f>
        <v>01 - January</v>
      </c>
      <c r="L434" s="11" t="str">
        <f>IF(Dataset[[#This Row],[Purchase_Date]]="","",YEAR(Dataset[[#This Row],[Purchase_Date]]))</f>
        <v/>
      </c>
      <c r="M434" s="11" t="str" cm="1">
        <f t="array" ref="M434">_xlfn.IFS(B434&lt;=25, "Young Adults", B434&lt;=35, "Emerging Professionals", B434&lt;=50, "Established Adults", TRUE, "Mature Customers")</f>
        <v>Young Adults</v>
      </c>
      <c r="N434" s="11" t="str">
        <f>IF(Dataset[[#This Row],[Total_Spent (€)]]&lt;10,"Low Spender",IF(Dataset[[#This Row],[Total_Spent (€)]]&lt;25,"Medium Spender","High Spender"))</f>
        <v>Low Spender</v>
      </c>
    </row>
    <row r="435" spans="1:14" x14ac:dyDescent="0.2">
      <c r="A435" s="14" t="s">
        <v>171</v>
      </c>
      <c r="B435" s="11">
        <v>21</v>
      </c>
      <c r="C435" s="11" t="s">
        <v>847</v>
      </c>
      <c r="D435" s="11">
        <v>13.86</v>
      </c>
      <c r="E435" s="11" t="s">
        <v>170</v>
      </c>
      <c r="F435" s="11" t="s">
        <v>169</v>
      </c>
      <c r="G435" s="11">
        <v>1</v>
      </c>
      <c r="H435" s="11">
        <v>2.0099999999999998</v>
      </c>
      <c r="I435" s="11" t="str">
        <f>TEXT(Dataset[[#This Row],[Purchase_Date]],"[$-409]mmmm")</f>
        <v>June</v>
      </c>
      <c r="J435" s="12">
        <f>MONTH(Dataset[[#This Row],[Purchase_Date]])</f>
        <v>6</v>
      </c>
      <c r="K435" s="13" t="str">
        <f>TEXT(Dataset[[#This Row],[Purchase_Date]],"mm - [$-409]mmmm")</f>
        <v>06 - June</v>
      </c>
      <c r="L435" s="11">
        <f>IF(Dataset[[#This Row],[Purchase_Date]]="","",YEAR(Dataset[[#This Row],[Purchase_Date]]))</f>
        <v>2024</v>
      </c>
      <c r="M435" s="11" t="str" cm="1">
        <f t="array" ref="M435">_xlfn.IFS(B435&lt;=25, "Young Adults", B435&lt;=35, "Emerging Professionals", B435&lt;=50, "Established Adults", TRUE, "Mature Customers")</f>
        <v>Young Adults</v>
      </c>
      <c r="N435" s="11" t="str">
        <f>IF(Dataset[[#This Row],[Total_Spent (€)]]&lt;10,"Low Spender",IF(Dataset[[#This Row],[Total_Spent (€)]]&lt;25,"Medium Spender","High Spender"))</f>
        <v>Medium Spender</v>
      </c>
    </row>
    <row r="436" spans="1:14" x14ac:dyDescent="0.2">
      <c r="A436" s="14" t="s">
        <v>168</v>
      </c>
      <c r="B436" s="11">
        <v>31</v>
      </c>
      <c r="C436" s="11" t="s">
        <v>845</v>
      </c>
      <c r="D436" s="11">
        <v>12.26</v>
      </c>
      <c r="E436" s="11" t="s">
        <v>42</v>
      </c>
      <c r="F436" s="11" t="s">
        <v>167</v>
      </c>
      <c r="G436" s="11">
        <v>1</v>
      </c>
      <c r="H436" s="11">
        <v>8.6999999999999993</v>
      </c>
      <c r="I436" s="11" t="str">
        <f>TEXT(Dataset[[#This Row],[Purchase_Date]],"[$-409]mmmm")</f>
        <v>December</v>
      </c>
      <c r="J436" s="12">
        <f>MONTH(Dataset[[#This Row],[Purchase_Date]])</f>
        <v>12</v>
      </c>
      <c r="K436" s="13" t="str">
        <f>TEXT(Dataset[[#This Row],[Purchase_Date]],"mm - [$-409]mmmm")</f>
        <v>12 - December</v>
      </c>
      <c r="L436" s="11">
        <f>IF(Dataset[[#This Row],[Purchase_Date]]="","",YEAR(Dataset[[#This Row],[Purchase_Date]]))</f>
        <v>2024</v>
      </c>
      <c r="M436" s="11" t="str" cm="1">
        <f t="array" ref="M436">_xlfn.IFS(B436&lt;=25, "Young Adults", B436&lt;=35, "Emerging Professionals", B436&lt;=50, "Established Adults", TRUE, "Mature Customers")</f>
        <v>Emerging Professionals</v>
      </c>
      <c r="N436" s="11" t="str">
        <f>IF(Dataset[[#This Row],[Total_Spent (€)]]&lt;10,"Low Spender",IF(Dataset[[#This Row],[Total_Spent (€)]]&lt;25,"Medium Spender","High Spender"))</f>
        <v>Medium Spender</v>
      </c>
    </row>
    <row r="437" spans="1:14" x14ac:dyDescent="0.2">
      <c r="A437" s="14" t="s">
        <v>166</v>
      </c>
      <c r="B437" s="11">
        <v>50</v>
      </c>
      <c r="C437" s="11" t="s">
        <v>845</v>
      </c>
      <c r="D437" s="11">
        <v>13.24</v>
      </c>
      <c r="E437" s="11" t="s">
        <v>165</v>
      </c>
      <c r="F437" s="11" t="s">
        <v>164</v>
      </c>
      <c r="G437" s="11">
        <v>1</v>
      </c>
      <c r="H437" s="11">
        <v>8.64</v>
      </c>
      <c r="I437" s="11" t="str">
        <f>TEXT(Dataset[[#This Row],[Purchase_Date]],"[$-409]mmmm")</f>
        <v>November</v>
      </c>
      <c r="J437" s="12">
        <f>MONTH(Dataset[[#This Row],[Purchase_Date]])</f>
        <v>11</v>
      </c>
      <c r="K437" s="13" t="str">
        <f>TEXT(Dataset[[#This Row],[Purchase_Date]],"mm - [$-409]mmmm")</f>
        <v>11 - November</v>
      </c>
      <c r="L437" s="11">
        <f>IF(Dataset[[#This Row],[Purchase_Date]]="","",YEAR(Dataset[[#This Row],[Purchase_Date]]))</f>
        <v>2024</v>
      </c>
      <c r="M437" s="11" t="str" cm="1">
        <f t="array" ref="M437">_xlfn.IFS(B437&lt;=25, "Young Adults", B437&lt;=35, "Emerging Professionals", B437&lt;=50, "Established Adults", TRUE, "Mature Customers")</f>
        <v>Established Adults</v>
      </c>
      <c r="N437" s="11" t="str">
        <f>IF(Dataset[[#This Row],[Total_Spent (€)]]&lt;10,"Low Spender",IF(Dataset[[#This Row],[Total_Spent (€)]]&lt;25,"Medium Spender","High Spender"))</f>
        <v>Medium Spender</v>
      </c>
    </row>
    <row r="438" spans="1:14" x14ac:dyDescent="0.2">
      <c r="A438" s="14" t="s">
        <v>163</v>
      </c>
      <c r="B438" s="11">
        <v>54</v>
      </c>
      <c r="C438" s="11" t="s">
        <v>61</v>
      </c>
      <c r="D438" s="11">
        <v>19.11</v>
      </c>
      <c r="E438" s="11" t="s">
        <v>162</v>
      </c>
      <c r="F438" s="11" t="s">
        <v>29</v>
      </c>
      <c r="G438" s="11">
        <v>1</v>
      </c>
      <c r="H438" s="11">
        <v>2.19</v>
      </c>
      <c r="I438" s="11" t="str">
        <f>TEXT(Dataset[[#This Row],[Purchase_Date]],"[$-409]mmmm")</f>
        <v>December</v>
      </c>
      <c r="J438" s="12">
        <f>MONTH(Dataset[[#This Row],[Purchase_Date]])</f>
        <v>12</v>
      </c>
      <c r="K438" s="13" t="str">
        <f>TEXT(Dataset[[#This Row],[Purchase_Date]],"mm - [$-409]mmmm")</f>
        <v>12 - December</v>
      </c>
      <c r="L438" s="11">
        <f>IF(Dataset[[#This Row],[Purchase_Date]]="","",YEAR(Dataset[[#This Row],[Purchase_Date]]))</f>
        <v>2024</v>
      </c>
      <c r="M438" s="11" t="str" cm="1">
        <f t="array" ref="M438">_xlfn.IFS(B438&lt;=25, "Young Adults", B438&lt;=35, "Emerging Professionals", B438&lt;=50, "Established Adults", TRUE, "Mature Customers")</f>
        <v>Mature Customers</v>
      </c>
      <c r="N438" s="11" t="str">
        <f>IF(Dataset[[#This Row],[Total_Spent (€)]]&lt;10,"Low Spender",IF(Dataset[[#This Row],[Total_Spent (€)]]&lt;25,"Medium Spender","High Spender"))</f>
        <v>Medium Spender</v>
      </c>
    </row>
    <row r="439" spans="1:14" x14ac:dyDescent="0.2">
      <c r="A439" s="14" t="s">
        <v>161</v>
      </c>
      <c r="B439" s="11">
        <v>39</v>
      </c>
      <c r="C439" s="11" t="s">
        <v>38</v>
      </c>
      <c r="D439" s="11">
        <v>20.03</v>
      </c>
      <c r="E439" s="11" t="s">
        <v>160</v>
      </c>
      <c r="F439" s="11" t="s">
        <v>159</v>
      </c>
      <c r="G439" s="11">
        <v>1</v>
      </c>
      <c r="H439" s="11">
        <v>3.82</v>
      </c>
      <c r="I439" s="11" t="str">
        <f>TEXT(Dataset[[#This Row],[Purchase_Date]],"[$-409]mmmm")</f>
        <v>July</v>
      </c>
      <c r="J439" s="12">
        <f>MONTH(Dataset[[#This Row],[Purchase_Date]])</f>
        <v>7</v>
      </c>
      <c r="K439" s="13" t="str">
        <f>TEXT(Dataset[[#This Row],[Purchase_Date]],"mm - [$-409]mmmm")</f>
        <v>07 - July</v>
      </c>
      <c r="L439" s="11">
        <f>IF(Dataset[[#This Row],[Purchase_Date]]="","",YEAR(Dataset[[#This Row],[Purchase_Date]]))</f>
        <v>2024</v>
      </c>
      <c r="M439" s="11" t="str" cm="1">
        <f t="array" ref="M439">_xlfn.IFS(B439&lt;=25, "Young Adults", B439&lt;=35, "Emerging Professionals", B439&lt;=50, "Established Adults", TRUE, "Mature Customers")</f>
        <v>Established Adults</v>
      </c>
      <c r="N439" s="11" t="str">
        <f>IF(Dataset[[#This Row],[Total_Spent (€)]]&lt;10,"Low Spender",IF(Dataset[[#This Row],[Total_Spent (€)]]&lt;25,"Medium Spender","High Spender"))</f>
        <v>Medium Spender</v>
      </c>
    </row>
    <row r="440" spans="1:14" x14ac:dyDescent="0.2">
      <c r="A440" s="14" t="s">
        <v>158</v>
      </c>
      <c r="B440" s="11">
        <v>23</v>
      </c>
      <c r="C440" s="11" t="s">
        <v>847</v>
      </c>
      <c r="D440" s="11"/>
      <c r="F440" s="11" t="s">
        <v>157</v>
      </c>
      <c r="G440" s="11">
        <v>0</v>
      </c>
      <c r="H440" s="11">
        <v>2.21</v>
      </c>
      <c r="I440" s="11" t="str">
        <f>TEXT(Dataset[[#This Row],[Purchase_Date]],"[$-409]mmmm")</f>
        <v>January</v>
      </c>
      <c r="J440" s="12">
        <f>MONTH(Dataset[[#This Row],[Purchase_Date]])</f>
        <v>1</v>
      </c>
      <c r="K440" s="13" t="str">
        <f>TEXT(Dataset[[#This Row],[Purchase_Date]],"mm - [$-409]mmmm")</f>
        <v>01 - January</v>
      </c>
      <c r="L440" s="11" t="str">
        <f>IF(Dataset[[#This Row],[Purchase_Date]]="","",YEAR(Dataset[[#This Row],[Purchase_Date]]))</f>
        <v/>
      </c>
      <c r="M440" s="11" t="str" cm="1">
        <f t="array" ref="M440">_xlfn.IFS(B440&lt;=25, "Young Adults", B440&lt;=35, "Emerging Professionals", B440&lt;=50, "Established Adults", TRUE, "Mature Customers")</f>
        <v>Young Adults</v>
      </c>
      <c r="N440" s="11" t="str">
        <f>IF(Dataset[[#This Row],[Total_Spent (€)]]&lt;10,"Low Spender",IF(Dataset[[#This Row],[Total_Spent (€)]]&lt;25,"Medium Spender","High Spender"))</f>
        <v>Low Spender</v>
      </c>
    </row>
    <row r="441" spans="1:14" x14ac:dyDescent="0.2">
      <c r="A441" s="14" t="s">
        <v>156</v>
      </c>
      <c r="B441" s="11">
        <v>43</v>
      </c>
      <c r="C441" s="11" t="s">
        <v>38</v>
      </c>
      <c r="D441" s="11"/>
      <c r="F441" s="11" t="s">
        <v>122</v>
      </c>
      <c r="G441" s="11">
        <v>0</v>
      </c>
      <c r="H441" s="11">
        <v>2.34</v>
      </c>
      <c r="I441" s="11" t="str">
        <f>TEXT(Dataset[[#This Row],[Purchase_Date]],"[$-409]mmmm")</f>
        <v>January</v>
      </c>
      <c r="J441" s="12">
        <f>MONTH(Dataset[[#This Row],[Purchase_Date]])</f>
        <v>1</v>
      </c>
      <c r="K441" s="13" t="str">
        <f>TEXT(Dataset[[#This Row],[Purchase_Date]],"mm - [$-409]mmmm")</f>
        <v>01 - January</v>
      </c>
      <c r="L441" s="11" t="str">
        <f>IF(Dataset[[#This Row],[Purchase_Date]]="","",YEAR(Dataset[[#This Row],[Purchase_Date]]))</f>
        <v/>
      </c>
      <c r="M441" s="11" t="str" cm="1">
        <f t="array" ref="M441">_xlfn.IFS(B441&lt;=25, "Young Adults", B441&lt;=35, "Emerging Professionals", B441&lt;=50, "Established Adults", TRUE, "Mature Customers")</f>
        <v>Established Adults</v>
      </c>
      <c r="N441" s="11" t="str">
        <f>IF(Dataset[[#This Row],[Total_Spent (€)]]&lt;10,"Low Spender",IF(Dataset[[#This Row],[Total_Spent (€)]]&lt;25,"Medium Spender","High Spender"))</f>
        <v>Low Spender</v>
      </c>
    </row>
    <row r="442" spans="1:14" x14ac:dyDescent="0.2">
      <c r="A442" s="14" t="s">
        <v>155</v>
      </c>
      <c r="B442" s="11">
        <v>20</v>
      </c>
      <c r="C442" s="11" t="s">
        <v>840</v>
      </c>
      <c r="D442" s="11">
        <v>19.88</v>
      </c>
      <c r="E442" s="11" t="s">
        <v>154</v>
      </c>
      <c r="F442" s="11" t="s">
        <v>106</v>
      </c>
      <c r="G442" s="11">
        <v>1</v>
      </c>
      <c r="H442" s="11">
        <v>8.73</v>
      </c>
      <c r="I442" s="11" t="str">
        <f>TEXT(Dataset[[#This Row],[Purchase_Date]],"[$-409]mmmm")</f>
        <v>April</v>
      </c>
      <c r="J442" s="12">
        <f>MONTH(Dataset[[#This Row],[Purchase_Date]])</f>
        <v>4</v>
      </c>
      <c r="K442" s="13" t="str">
        <f>TEXT(Dataset[[#This Row],[Purchase_Date]],"mm - [$-409]mmmm")</f>
        <v>04 - April</v>
      </c>
      <c r="L442" s="11">
        <f>IF(Dataset[[#This Row],[Purchase_Date]]="","",YEAR(Dataset[[#This Row],[Purchase_Date]]))</f>
        <v>2025</v>
      </c>
      <c r="M442" s="11" t="str" cm="1">
        <f t="array" ref="M442">_xlfn.IFS(B442&lt;=25, "Young Adults", B442&lt;=35, "Emerging Professionals", B442&lt;=50, "Established Adults", TRUE, "Mature Customers")</f>
        <v>Young Adults</v>
      </c>
      <c r="N442" s="11" t="str">
        <f>IF(Dataset[[#This Row],[Total_Spent (€)]]&lt;10,"Low Spender",IF(Dataset[[#This Row],[Total_Spent (€)]]&lt;25,"Medium Spender","High Spender"))</f>
        <v>Medium Spender</v>
      </c>
    </row>
    <row r="443" spans="1:14" x14ac:dyDescent="0.2">
      <c r="A443" s="14" t="s">
        <v>153</v>
      </c>
      <c r="B443" s="11">
        <v>49</v>
      </c>
      <c r="C443" s="11" t="s">
        <v>152</v>
      </c>
      <c r="D443" s="11"/>
      <c r="F443" s="11" t="s">
        <v>151</v>
      </c>
      <c r="G443" s="11">
        <v>0</v>
      </c>
      <c r="H443" s="11">
        <v>6.91</v>
      </c>
      <c r="I443" s="11" t="str">
        <f>TEXT(Dataset[[#This Row],[Purchase_Date]],"[$-409]mmmm")</f>
        <v>January</v>
      </c>
      <c r="J443" s="12">
        <f>MONTH(Dataset[[#This Row],[Purchase_Date]])</f>
        <v>1</v>
      </c>
      <c r="K443" s="13" t="str">
        <f>TEXT(Dataset[[#This Row],[Purchase_Date]],"mm - [$-409]mmmm")</f>
        <v>01 - January</v>
      </c>
      <c r="L443" s="11" t="str">
        <f>IF(Dataset[[#This Row],[Purchase_Date]]="","",YEAR(Dataset[[#This Row],[Purchase_Date]]))</f>
        <v/>
      </c>
      <c r="M443" s="11" t="str" cm="1">
        <f t="array" ref="M443">_xlfn.IFS(B443&lt;=25, "Young Adults", B443&lt;=35, "Emerging Professionals", B443&lt;=50, "Established Adults", TRUE, "Mature Customers")</f>
        <v>Established Adults</v>
      </c>
      <c r="N443" s="11" t="str">
        <f>IF(Dataset[[#This Row],[Total_Spent (€)]]&lt;10,"Low Spender",IF(Dataset[[#This Row],[Total_Spent (€)]]&lt;25,"Medium Spender","High Spender"))</f>
        <v>Low Spender</v>
      </c>
    </row>
    <row r="444" spans="1:14" x14ac:dyDescent="0.2">
      <c r="A444" s="14" t="s">
        <v>150</v>
      </c>
      <c r="B444" s="11">
        <v>43</v>
      </c>
      <c r="C444" s="11" t="s">
        <v>75</v>
      </c>
      <c r="D444" s="11">
        <v>24.85</v>
      </c>
      <c r="E444" s="11" t="s">
        <v>149</v>
      </c>
      <c r="F444" s="11" t="s">
        <v>148</v>
      </c>
      <c r="G444" s="11">
        <v>1</v>
      </c>
      <c r="H444" s="11">
        <v>4.3899999999999997</v>
      </c>
      <c r="I444" s="11" t="str">
        <f>TEXT(Dataset[[#This Row],[Purchase_Date]],"[$-409]mmmm")</f>
        <v>February</v>
      </c>
      <c r="J444" s="12">
        <f>MONTH(Dataset[[#This Row],[Purchase_Date]])</f>
        <v>2</v>
      </c>
      <c r="K444" s="13" t="str">
        <f>TEXT(Dataset[[#This Row],[Purchase_Date]],"mm - [$-409]mmmm")</f>
        <v>02 - February</v>
      </c>
      <c r="L444" s="11">
        <f>IF(Dataset[[#This Row],[Purchase_Date]]="","",YEAR(Dataset[[#This Row],[Purchase_Date]]))</f>
        <v>2025</v>
      </c>
      <c r="M444" s="11" t="str" cm="1">
        <f t="array" ref="M444">_xlfn.IFS(B444&lt;=25, "Young Adults", B444&lt;=35, "Emerging Professionals", B444&lt;=50, "Established Adults", TRUE, "Mature Customers")</f>
        <v>Established Adults</v>
      </c>
      <c r="N444" s="11" t="str">
        <f>IF(Dataset[[#This Row],[Total_Spent (€)]]&lt;10,"Low Spender",IF(Dataset[[#This Row],[Total_Spent (€)]]&lt;25,"Medium Spender","High Spender"))</f>
        <v>Medium Spender</v>
      </c>
    </row>
    <row r="445" spans="1:14" x14ac:dyDescent="0.2">
      <c r="A445" s="14" t="s">
        <v>147</v>
      </c>
      <c r="B445" s="11">
        <v>53</v>
      </c>
      <c r="C445" s="11" t="s">
        <v>5</v>
      </c>
      <c r="D445" s="11"/>
      <c r="F445" s="11" t="s">
        <v>146</v>
      </c>
      <c r="G445" s="11">
        <v>0</v>
      </c>
      <c r="H445" s="11">
        <v>7.07</v>
      </c>
      <c r="I445" s="11" t="str">
        <f>TEXT(Dataset[[#This Row],[Purchase_Date]],"[$-409]mmmm")</f>
        <v>January</v>
      </c>
      <c r="J445" s="12">
        <f>MONTH(Dataset[[#This Row],[Purchase_Date]])</f>
        <v>1</v>
      </c>
      <c r="K445" s="13" t="str">
        <f>TEXT(Dataset[[#This Row],[Purchase_Date]],"mm - [$-409]mmmm")</f>
        <v>01 - January</v>
      </c>
      <c r="L445" s="11" t="str">
        <f>IF(Dataset[[#This Row],[Purchase_Date]]="","",YEAR(Dataset[[#This Row],[Purchase_Date]]))</f>
        <v/>
      </c>
      <c r="M445" s="11" t="str" cm="1">
        <f t="array" ref="M445">_xlfn.IFS(B445&lt;=25, "Young Adults", B445&lt;=35, "Emerging Professionals", B445&lt;=50, "Established Adults", TRUE, "Mature Customers")</f>
        <v>Mature Customers</v>
      </c>
      <c r="N445" s="11" t="str">
        <f>IF(Dataset[[#This Row],[Total_Spent (€)]]&lt;10,"Low Spender",IF(Dataset[[#This Row],[Total_Spent (€)]]&lt;25,"Medium Spender","High Spender"))</f>
        <v>Low Spender</v>
      </c>
    </row>
    <row r="446" spans="1:14" x14ac:dyDescent="0.2">
      <c r="A446" s="14" t="s">
        <v>145</v>
      </c>
      <c r="B446" s="11">
        <v>32</v>
      </c>
      <c r="C446" s="11" t="s">
        <v>20</v>
      </c>
      <c r="D446" s="11"/>
      <c r="F446" s="11" t="s">
        <v>144</v>
      </c>
      <c r="G446" s="11">
        <v>0</v>
      </c>
      <c r="H446" s="11">
        <v>4.1100000000000003</v>
      </c>
      <c r="I446" s="11" t="str">
        <f>TEXT(Dataset[[#This Row],[Purchase_Date]],"[$-409]mmmm")</f>
        <v>January</v>
      </c>
      <c r="J446" s="12">
        <f>MONTH(Dataset[[#This Row],[Purchase_Date]])</f>
        <v>1</v>
      </c>
      <c r="K446" s="13" t="str">
        <f>TEXT(Dataset[[#This Row],[Purchase_Date]],"mm - [$-409]mmmm")</f>
        <v>01 - January</v>
      </c>
      <c r="L446" s="11" t="str">
        <f>IF(Dataset[[#This Row],[Purchase_Date]]="","",YEAR(Dataset[[#This Row],[Purchase_Date]]))</f>
        <v/>
      </c>
      <c r="M446" s="11" t="str" cm="1">
        <f t="array" ref="M446">_xlfn.IFS(B446&lt;=25, "Young Adults", B446&lt;=35, "Emerging Professionals", B446&lt;=50, "Established Adults", TRUE, "Mature Customers")</f>
        <v>Emerging Professionals</v>
      </c>
      <c r="N446" s="11" t="str">
        <f>IF(Dataset[[#This Row],[Total_Spent (€)]]&lt;10,"Low Spender",IF(Dataset[[#This Row],[Total_Spent (€)]]&lt;25,"Medium Spender","High Spender"))</f>
        <v>Low Spender</v>
      </c>
    </row>
    <row r="447" spans="1:14" x14ac:dyDescent="0.2">
      <c r="A447" s="14" t="s">
        <v>143</v>
      </c>
      <c r="B447" s="11">
        <v>23</v>
      </c>
      <c r="C447" s="11" t="s">
        <v>20</v>
      </c>
      <c r="D447" s="11"/>
      <c r="F447" s="11" t="s">
        <v>142</v>
      </c>
      <c r="G447" s="11">
        <v>0</v>
      </c>
      <c r="H447" s="11">
        <v>2.16</v>
      </c>
      <c r="I447" s="11" t="str">
        <f>TEXT(Dataset[[#This Row],[Purchase_Date]],"[$-409]mmmm")</f>
        <v>January</v>
      </c>
      <c r="J447" s="12">
        <f>MONTH(Dataset[[#This Row],[Purchase_Date]])</f>
        <v>1</v>
      </c>
      <c r="K447" s="13" t="str">
        <f>TEXT(Dataset[[#This Row],[Purchase_Date]],"mm - [$-409]mmmm")</f>
        <v>01 - January</v>
      </c>
      <c r="L447" s="11" t="str">
        <f>IF(Dataset[[#This Row],[Purchase_Date]]="","",YEAR(Dataset[[#This Row],[Purchase_Date]]))</f>
        <v/>
      </c>
      <c r="M447" s="11" t="str" cm="1">
        <f t="array" ref="M447">_xlfn.IFS(B447&lt;=25, "Young Adults", B447&lt;=35, "Emerging Professionals", B447&lt;=50, "Established Adults", TRUE, "Mature Customers")</f>
        <v>Young Adults</v>
      </c>
      <c r="N447" s="11" t="str">
        <f>IF(Dataset[[#This Row],[Total_Spent (€)]]&lt;10,"Low Spender",IF(Dataset[[#This Row],[Total_Spent (€)]]&lt;25,"Medium Spender","High Spender"))</f>
        <v>Low Spender</v>
      </c>
    </row>
    <row r="448" spans="1:14" x14ac:dyDescent="0.2">
      <c r="A448" s="14" t="s">
        <v>141</v>
      </c>
      <c r="B448" s="11">
        <v>44</v>
      </c>
      <c r="C448" s="11" t="s">
        <v>86</v>
      </c>
      <c r="D448" s="11">
        <v>11.05</v>
      </c>
      <c r="E448" s="11" t="s">
        <v>140</v>
      </c>
      <c r="F448" s="11" t="s">
        <v>139</v>
      </c>
      <c r="G448" s="11">
        <v>1</v>
      </c>
      <c r="H448" s="11">
        <v>6.87</v>
      </c>
      <c r="I448" s="11" t="str">
        <f>TEXT(Dataset[[#This Row],[Purchase_Date]],"[$-409]mmmm")</f>
        <v>November</v>
      </c>
      <c r="J448" s="12">
        <f>MONTH(Dataset[[#This Row],[Purchase_Date]])</f>
        <v>11</v>
      </c>
      <c r="K448" s="13" t="str">
        <f>TEXT(Dataset[[#This Row],[Purchase_Date]],"mm - [$-409]mmmm")</f>
        <v>11 - November</v>
      </c>
      <c r="L448" s="11">
        <f>IF(Dataset[[#This Row],[Purchase_Date]]="","",YEAR(Dataset[[#This Row],[Purchase_Date]]))</f>
        <v>2024</v>
      </c>
      <c r="M448" s="11" t="str" cm="1">
        <f t="array" ref="M448">_xlfn.IFS(B448&lt;=25, "Young Adults", B448&lt;=35, "Emerging Professionals", B448&lt;=50, "Established Adults", TRUE, "Mature Customers")</f>
        <v>Established Adults</v>
      </c>
      <c r="N448" s="11" t="str">
        <f>IF(Dataset[[#This Row],[Total_Spent (€)]]&lt;10,"Low Spender",IF(Dataset[[#This Row],[Total_Spent (€)]]&lt;25,"Medium Spender","High Spender"))</f>
        <v>Medium Spender</v>
      </c>
    </row>
    <row r="449" spans="1:14" x14ac:dyDescent="0.2">
      <c r="A449" s="14" t="s">
        <v>138</v>
      </c>
      <c r="B449" s="11">
        <v>42</v>
      </c>
      <c r="C449" s="11" t="s">
        <v>846</v>
      </c>
      <c r="D449" s="11"/>
      <c r="F449" s="11" t="s">
        <v>137</v>
      </c>
      <c r="G449" s="11">
        <v>0</v>
      </c>
      <c r="H449" s="11">
        <v>9.39</v>
      </c>
      <c r="I449" s="11" t="str">
        <f>TEXT(Dataset[[#This Row],[Purchase_Date]],"[$-409]mmmm")</f>
        <v>January</v>
      </c>
      <c r="J449" s="12">
        <f>MONTH(Dataset[[#This Row],[Purchase_Date]])</f>
        <v>1</v>
      </c>
      <c r="K449" s="13" t="str">
        <f>TEXT(Dataset[[#This Row],[Purchase_Date]],"mm - [$-409]mmmm")</f>
        <v>01 - January</v>
      </c>
      <c r="L449" s="11" t="str">
        <f>IF(Dataset[[#This Row],[Purchase_Date]]="","",YEAR(Dataset[[#This Row],[Purchase_Date]]))</f>
        <v/>
      </c>
      <c r="M449" s="11" t="str" cm="1">
        <f t="array" ref="M449">_xlfn.IFS(B449&lt;=25, "Young Adults", B449&lt;=35, "Emerging Professionals", B449&lt;=50, "Established Adults", TRUE, "Mature Customers")</f>
        <v>Established Adults</v>
      </c>
      <c r="N449" s="11" t="str">
        <f>IF(Dataset[[#This Row],[Total_Spent (€)]]&lt;10,"Low Spender",IF(Dataset[[#This Row],[Total_Spent (€)]]&lt;25,"Medium Spender","High Spender"))</f>
        <v>Low Spender</v>
      </c>
    </row>
    <row r="450" spans="1:14" x14ac:dyDescent="0.2">
      <c r="A450" s="14" t="s">
        <v>136</v>
      </c>
      <c r="B450" s="11">
        <v>23</v>
      </c>
      <c r="C450" s="11" t="s">
        <v>75</v>
      </c>
      <c r="D450" s="11">
        <v>23.13</v>
      </c>
      <c r="E450" s="11" t="s">
        <v>89</v>
      </c>
      <c r="F450" s="11" t="s">
        <v>135</v>
      </c>
      <c r="G450" s="11">
        <v>1</v>
      </c>
      <c r="H450" s="11">
        <v>5.49</v>
      </c>
      <c r="I450" s="11" t="str">
        <f>TEXT(Dataset[[#This Row],[Purchase_Date]],"[$-409]mmmm")</f>
        <v>September</v>
      </c>
      <c r="J450" s="12">
        <f>MONTH(Dataset[[#This Row],[Purchase_Date]])</f>
        <v>9</v>
      </c>
      <c r="K450" s="13" t="str">
        <f>TEXT(Dataset[[#This Row],[Purchase_Date]],"mm - [$-409]mmmm")</f>
        <v>09 - September</v>
      </c>
      <c r="L450" s="11">
        <f>IF(Dataset[[#This Row],[Purchase_Date]]="","",YEAR(Dataset[[#This Row],[Purchase_Date]]))</f>
        <v>2024</v>
      </c>
      <c r="M450" s="11" t="str" cm="1">
        <f t="array" ref="M450">_xlfn.IFS(B450&lt;=25, "Young Adults", B450&lt;=35, "Emerging Professionals", B450&lt;=50, "Established Adults", TRUE, "Mature Customers")</f>
        <v>Young Adults</v>
      </c>
      <c r="N450" s="11" t="str">
        <f>IF(Dataset[[#This Row],[Total_Spent (€)]]&lt;10,"Low Spender",IF(Dataset[[#This Row],[Total_Spent (€)]]&lt;25,"Medium Spender","High Spender"))</f>
        <v>Medium Spender</v>
      </c>
    </row>
    <row r="451" spans="1:14" x14ac:dyDescent="0.2">
      <c r="A451" s="14" t="s">
        <v>134</v>
      </c>
      <c r="B451" s="11">
        <v>40</v>
      </c>
      <c r="C451" s="11" t="s">
        <v>841</v>
      </c>
      <c r="D451" s="11">
        <v>31.05</v>
      </c>
      <c r="E451" s="11" t="s">
        <v>133</v>
      </c>
      <c r="F451" s="11" t="s">
        <v>22</v>
      </c>
      <c r="G451" s="11">
        <v>1</v>
      </c>
      <c r="H451" s="11">
        <v>3.09</v>
      </c>
      <c r="I451" s="11" t="str">
        <f>TEXT(Dataset[[#This Row],[Purchase_Date]],"[$-409]mmmm")</f>
        <v>July</v>
      </c>
      <c r="J451" s="12">
        <f>MONTH(Dataset[[#This Row],[Purchase_Date]])</f>
        <v>7</v>
      </c>
      <c r="K451" s="13" t="str">
        <f>TEXT(Dataset[[#This Row],[Purchase_Date]],"mm - [$-409]mmmm")</f>
        <v>07 - July</v>
      </c>
      <c r="L451" s="11">
        <f>IF(Dataset[[#This Row],[Purchase_Date]]="","",YEAR(Dataset[[#This Row],[Purchase_Date]]))</f>
        <v>2024</v>
      </c>
      <c r="M451" s="11" t="str" cm="1">
        <f t="array" ref="M451">_xlfn.IFS(B451&lt;=25, "Young Adults", B451&lt;=35, "Emerging Professionals", B451&lt;=50, "Established Adults", TRUE, "Mature Customers")</f>
        <v>Established Adults</v>
      </c>
      <c r="N451" s="11" t="str">
        <f>IF(Dataset[[#This Row],[Total_Spent (€)]]&lt;10,"Low Spender",IF(Dataset[[#This Row],[Total_Spent (€)]]&lt;25,"Medium Spender","High Spender"))</f>
        <v>High Spender</v>
      </c>
    </row>
    <row r="452" spans="1:14" x14ac:dyDescent="0.2">
      <c r="A452" s="14" t="s">
        <v>132</v>
      </c>
      <c r="B452" s="11">
        <v>23</v>
      </c>
      <c r="C452" s="11" t="s">
        <v>847</v>
      </c>
      <c r="D452" s="11">
        <v>19.29</v>
      </c>
      <c r="E452" s="11" t="s">
        <v>131</v>
      </c>
      <c r="F452" s="11" t="s">
        <v>130</v>
      </c>
      <c r="G452" s="11">
        <v>1</v>
      </c>
      <c r="H452" s="11">
        <v>7.59</v>
      </c>
      <c r="I452" s="11" t="str">
        <f>TEXT(Dataset[[#This Row],[Purchase_Date]],"[$-409]mmmm")</f>
        <v>March</v>
      </c>
      <c r="J452" s="12">
        <f>MONTH(Dataset[[#This Row],[Purchase_Date]])</f>
        <v>3</v>
      </c>
      <c r="K452" s="13" t="str">
        <f>TEXT(Dataset[[#This Row],[Purchase_Date]],"mm - [$-409]mmmm")</f>
        <v>03 - March</v>
      </c>
      <c r="L452" s="11">
        <f>IF(Dataset[[#This Row],[Purchase_Date]]="","",YEAR(Dataset[[#This Row],[Purchase_Date]]))</f>
        <v>2025</v>
      </c>
      <c r="M452" s="11" t="str" cm="1">
        <f t="array" ref="M452">_xlfn.IFS(B452&lt;=25, "Young Adults", B452&lt;=35, "Emerging Professionals", B452&lt;=50, "Established Adults", TRUE, "Mature Customers")</f>
        <v>Young Adults</v>
      </c>
      <c r="N452" s="11" t="str">
        <f>IF(Dataset[[#This Row],[Total_Spent (€)]]&lt;10,"Low Spender",IF(Dataset[[#This Row],[Total_Spent (€)]]&lt;25,"Medium Spender","High Spender"))</f>
        <v>Medium Spender</v>
      </c>
    </row>
    <row r="453" spans="1:14" x14ac:dyDescent="0.2">
      <c r="A453" s="14" t="s">
        <v>129</v>
      </c>
      <c r="B453" s="11">
        <v>53</v>
      </c>
      <c r="C453" s="11" t="s">
        <v>9</v>
      </c>
      <c r="D453" s="11">
        <v>31.95</v>
      </c>
      <c r="E453" s="11" t="s">
        <v>49</v>
      </c>
      <c r="F453" s="11" t="s">
        <v>128</v>
      </c>
      <c r="G453" s="11">
        <v>1</v>
      </c>
      <c r="H453" s="11">
        <v>7.36</v>
      </c>
      <c r="I453" s="11" t="str">
        <f>TEXT(Dataset[[#This Row],[Purchase_Date]],"[$-409]mmmm")</f>
        <v>May</v>
      </c>
      <c r="J453" s="12">
        <f>MONTH(Dataset[[#This Row],[Purchase_Date]])</f>
        <v>5</v>
      </c>
      <c r="K453" s="13" t="str">
        <f>TEXT(Dataset[[#This Row],[Purchase_Date]],"mm - [$-409]mmmm")</f>
        <v>05 - May</v>
      </c>
      <c r="L453" s="11">
        <f>IF(Dataset[[#This Row],[Purchase_Date]]="","",YEAR(Dataset[[#This Row],[Purchase_Date]]))</f>
        <v>2025</v>
      </c>
      <c r="M453" s="11" t="str" cm="1">
        <f t="array" ref="M453">_xlfn.IFS(B453&lt;=25, "Young Adults", B453&lt;=35, "Emerging Professionals", B453&lt;=50, "Established Adults", TRUE, "Mature Customers")</f>
        <v>Mature Customers</v>
      </c>
      <c r="N453" s="11" t="str">
        <f>IF(Dataset[[#This Row],[Total_Spent (€)]]&lt;10,"Low Spender",IF(Dataset[[#This Row],[Total_Spent (€)]]&lt;25,"Medium Spender","High Spender"))</f>
        <v>High Spender</v>
      </c>
    </row>
    <row r="454" spans="1:14" x14ac:dyDescent="0.2">
      <c r="A454" s="14" t="s">
        <v>127</v>
      </c>
      <c r="B454" s="11">
        <v>48</v>
      </c>
      <c r="C454" s="11" t="s">
        <v>847</v>
      </c>
      <c r="D454" s="11"/>
      <c r="F454" s="11" t="s">
        <v>109</v>
      </c>
      <c r="G454" s="11">
        <v>0</v>
      </c>
      <c r="H454" s="11">
        <v>4.34</v>
      </c>
      <c r="I454" s="11" t="str">
        <f>TEXT(Dataset[[#This Row],[Purchase_Date]],"[$-409]mmmm")</f>
        <v>January</v>
      </c>
      <c r="J454" s="12">
        <f>MONTH(Dataset[[#This Row],[Purchase_Date]])</f>
        <v>1</v>
      </c>
      <c r="K454" s="13" t="str">
        <f>TEXT(Dataset[[#This Row],[Purchase_Date]],"mm - [$-409]mmmm")</f>
        <v>01 - January</v>
      </c>
      <c r="L454" s="11" t="str">
        <f>IF(Dataset[[#This Row],[Purchase_Date]]="","",YEAR(Dataset[[#This Row],[Purchase_Date]]))</f>
        <v/>
      </c>
      <c r="M454" s="11" t="str" cm="1">
        <f t="array" ref="M454">_xlfn.IFS(B454&lt;=25, "Young Adults", B454&lt;=35, "Emerging Professionals", B454&lt;=50, "Established Adults", TRUE, "Mature Customers")</f>
        <v>Established Adults</v>
      </c>
      <c r="N454" s="11" t="str">
        <f>IF(Dataset[[#This Row],[Total_Spent (€)]]&lt;10,"Low Spender",IF(Dataset[[#This Row],[Total_Spent (€)]]&lt;25,"Medium Spender","High Spender"))</f>
        <v>Low Spender</v>
      </c>
    </row>
    <row r="455" spans="1:14" x14ac:dyDescent="0.2">
      <c r="A455" s="14" t="s">
        <v>126</v>
      </c>
      <c r="B455" s="11">
        <v>46</v>
      </c>
      <c r="C455" s="11" t="s">
        <v>9</v>
      </c>
      <c r="D455" s="11">
        <v>38.39</v>
      </c>
      <c r="E455" s="11" t="s">
        <v>125</v>
      </c>
      <c r="F455" s="11" t="s">
        <v>45</v>
      </c>
      <c r="G455" s="11">
        <v>1</v>
      </c>
      <c r="H455" s="11">
        <v>3.94</v>
      </c>
      <c r="I455" s="11" t="str">
        <f>TEXT(Dataset[[#This Row],[Purchase_Date]],"[$-409]mmmm")</f>
        <v>October</v>
      </c>
      <c r="J455" s="12">
        <f>MONTH(Dataset[[#This Row],[Purchase_Date]])</f>
        <v>10</v>
      </c>
      <c r="K455" s="13" t="str">
        <f>TEXT(Dataset[[#This Row],[Purchase_Date]],"mm - [$-409]mmmm")</f>
        <v>10 - October</v>
      </c>
      <c r="L455" s="11">
        <f>IF(Dataset[[#This Row],[Purchase_Date]]="","",YEAR(Dataset[[#This Row],[Purchase_Date]]))</f>
        <v>2024</v>
      </c>
      <c r="M455" s="11" t="str" cm="1">
        <f t="array" ref="M455">_xlfn.IFS(B455&lt;=25, "Young Adults", B455&lt;=35, "Emerging Professionals", B455&lt;=50, "Established Adults", TRUE, "Mature Customers")</f>
        <v>Established Adults</v>
      </c>
      <c r="N455" s="11" t="str">
        <f>IF(Dataset[[#This Row],[Total_Spent (€)]]&lt;10,"Low Spender",IF(Dataset[[#This Row],[Total_Spent (€)]]&lt;25,"Medium Spender","High Spender"))</f>
        <v>High Spender</v>
      </c>
    </row>
    <row r="456" spans="1:14" x14ac:dyDescent="0.2">
      <c r="A456" s="14" t="s">
        <v>124</v>
      </c>
      <c r="B456" s="11">
        <v>25</v>
      </c>
      <c r="C456" s="11" t="s">
        <v>61</v>
      </c>
      <c r="D456" s="11">
        <v>23.38</v>
      </c>
      <c r="E456" s="11" t="s">
        <v>123</v>
      </c>
      <c r="F456" s="11" t="s">
        <v>122</v>
      </c>
      <c r="G456" s="11">
        <v>1</v>
      </c>
      <c r="H456" s="11">
        <v>4.3499999999999996</v>
      </c>
      <c r="I456" s="11" t="str">
        <f>TEXT(Dataset[[#This Row],[Purchase_Date]],"[$-409]mmmm")</f>
        <v>August</v>
      </c>
      <c r="J456" s="12">
        <f>MONTH(Dataset[[#This Row],[Purchase_Date]])</f>
        <v>8</v>
      </c>
      <c r="K456" s="13" t="str">
        <f>TEXT(Dataset[[#This Row],[Purchase_Date]],"mm - [$-409]mmmm")</f>
        <v>08 - August</v>
      </c>
      <c r="L456" s="11">
        <f>IF(Dataset[[#This Row],[Purchase_Date]]="","",YEAR(Dataset[[#This Row],[Purchase_Date]]))</f>
        <v>2024</v>
      </c>
      <c r="M456" s="11" t="str" cm="1">
        <f t="array" ref="M456">_xlfn.IFS(B456&lt;=25, "Young Adults", B456&lt;=35, "Emerging Professionals", B456&lt;=50, "Established Adults", TRUE, "Mature Customers")</f>
        <v>Young Adults</v>
      </c>
      <c r="N456" s="11" t="str">
        <f>IF(Dataset[[#This Row],[Total_Spent (€)]]&lt;10,"Low Spender",IF(Dataset[[#This Row],[Total_Spent (€)]]&lt;25,"Medium Spender","High Spender"))</f>
        <v>Medium Spender</v>
      </c>
    </row>
    <row r="457" spans="1:14" x14ac:dyDescent="0.2">
      <c r="A457" s="14" t="s">
        <v>121</v>
      </c>
      <c r="B457" s="11">
        <v>40</v>
      </c>
      <c r="C457" s="11" t="s">
        <v>20</v>
      </c>
      <c r="D457" s="11"/>
      <c r="F457" s="11" t="s">
        <v>120</v>
      </c>
      <c r="G457" s="11">
        <v>0</v>
      </c>
      <c r="H457" s="11">
        <v>6.04</v>
      </c>
      <c r="I457" s="11" t="str">
        <f>TEXT(Dataset[[#This Row],[Purchase_Date]],"[$-409]mmmm")</f>
        <v>January</v>
      </c>
      <c r="J457" s="12">
        <f>MONTH(Dataset[[#This Row],[Purchase_Date]])</f>
        <v>1</v>
      </c>
      <c r="K457" s="13" t="str">
        <f>TEXT(Dataset[[#This Row],[Purchase_Date]],"mm - [$-409]mmmm")</f>
        <v>01 - January</v>
      </c>
      <c r="L457" s="11" t="str">
        <f>IF(Dataset[[#This Row],[Purchase_Date]]="","",YEAR(Dataset[[#This Row],[Purchase_Date]]))</f>
        <v/>
      </c>
      <c r="M457" s="11" t="str" cm="1">
        <f t="array" ref="M457">_xlfn.IFS(B457&lt;=25, "Young Adults", B457&lt;=35, "Emerging Professionals", B457&lt;=50, "Established Adults", TRUE, "Mature Customers")</f>
        <v>Established Adults</v>
      </c>
      <c r="N457" s="11" t="str">
        <f>IF(Dataset[[#This Row],[Total_Spent (€)]]&lt;10,"Low Spender",IF(Dataset[[#This Row],[Total_Spent (€)]]&lt;25,"Medium Spender","High Spender"))</f>
        <v>Low Spender</v>
      </c>
    </row>
    <row r="458" spans="1:14" x14ac:dyDescent="0.2">
      <c r="A458" s="14" t="s">
        <v>119</v>
      </c>
      <c r="B458" s="11">
        <v>32</v>
      </c>
      <c r="C458" s="11" t="s">
        <v>9</v>
      </c>
      <c r="D458" s="11">
        <v>23.98</v>
      </c>
      <c r="E458" s="11" t="s">
        <v>118</v>
      </c>
      <c r="F458" s="11" t="s">
        <v>117</v>
      </c>
      <c r="G458" s="11">
        <v>1</v>
      </c>
      <c r="H458" s="11">
        <v>4.3499999999999996</v>
      </c>
      <c r="I458" s="11" t="str">
        <f>TEXT(Dataset[[#This Row],[Purchase_Date]],"[$-409]mmmm")</f>
        <v>November</v>
      </c>
      <c r="J458" s="12">
        <f>MONTH(Dataset[[#This Row],[Purchase_Date]])</f>
        <v>11</v>
      </c>
      <c r="K458" s="13" t="str">
        <f>TEXT(Dataset[[#This Row],[Purchase_Date]],"mm - [$-409]mmmm")</f>
        <v>11 - November</v>
      </c>
      <c r="L458" s="11">
        <f>IF(Dataset[[#This Row],[Purchase_Date]]="","",YEAR(Dataset[[#This Row],[Purchase_Date]]))</f>
        <v>2024</v>
      </c>
      <c r="M458" s="11" t="str" cm="1">
        <f t="array" ref="M458">_xlfn.IFS(B458&lt;=25, "Young Adults", B458&lt;=35, "Emerging Professionals", B458&lt;=50, "Established Adults", TRUE, "Mature Customers")</f>
        <v>Emerging Professionals</v>
      </c>
      <c r="N458" s="11" t="str">
        <f>IF(Dataset[[#This Row],[Total_Spent (€)]]&lt;10,"Low Spender",IF(Dataset[[#This Row],[Total_Spent (€)]]&lt;25,"Medium Spender","High Spender"))</f>
        <v>Medium Spender</v>
      </c>
    </row>
    <row r="459" spans="1:14" x14ac:dyDescent="0.2">
      <c r="A459" s="14" t="s">
        <v>116</v>
      </c>
      <c r="B459" s="11">
        <v>44</v>
      </c>
      <c r="C459" s="11" t="s">
        <v>844</v>
      </c>
      <c r="D459" s="11"/>
      <c r="F459" s="11" t="s">
        <v>115</v>
      </c>
      <c r="G459" s="11">
        <v>0</v>
      </c>
      <c r="H459" s="11">
        <v>4.16</v>
      </c>
      <c r="I459" s="11" t="str">
        <f>TEXT(Dataset[[#This Row],[Purchase_Date]],"[$-409]mmmm")</f>
        <v>January</v>
      </c>
      <c r="J459" s="12">
        <f>MONTH(Dataset[[#This Row],[Purchase_Date]])</f>
        <v>1</v>
      </c>
      <c r="K459" s="13" t="str">
        <f>TEXT(Dataset[[#This Row],[Purchase_Date]],"mm - [$-409]mmmm")</f>
        <v>01 - January</v>
      </c>
      <c r="L459" s="11" t="str">
        <f>IF(Dataset[[#This Row],[Purchase_Date]]="","",YEAR(Dataset[[#This Row],[Purchase_Date]]))</f>
        <v/>
      </c>
      <c r="M459" s="11" t="str" cm="1">
        <f t="array" ref="M459">_xlfn.IFS(B459&lt;=25, "Young Adults", B459&lt;=35, "Emerging Professionals", B459&lt;=50, "Established Adults", TRUE, "Mature Customers")</f>
        <v>Established Adults</v>
      </c>
      <c r="N459" s="11" t="str">
        <f>IF(Dataset[[#This Row],[Total_Spent (€)]]&lt;10,"Low Spender",IF(Dataset[[#This Row],[Total_Spent (€)]]&lt;25,"Medium Spender","High Spender"))</f>
        <v>Low Spender</v>
      </c>
    </row>
    <row r="460" spans="1:14" x14ac:dyDescent="0.2">
      <c r="A460" s="14" t="s">
        <v>114</v>
      </c>
      <c r="B460" s="11">
        <v>36</v>
      </c>
      <c r="C460" s="11" t="s">
        <v>61</v>
      </c>
      <c r="D460" s="11">
        <v>18.18</v>
      </c>
      <c r="E460" s="11" t="s">
        <v>113</v>
      </c>
      <c r="F460" s="11" t="s">
        <v>113</v>
      </c>
      <c r="G460" s="11">
        <v>1</v>
      </c>
      <c r="H460" s="11">
        <v>2.29</v>
      </c>
      <c r="I460" s="11" t="str">
        <f>TEXT(Dataset[[#This Row],[Purchase_Date]],"[$-409]mmmm")</f>
        <v>October</v>
      </c>
      <c r="J460" s="12">
        <f>MONTH(Dataset[[#This Row],[Purchase_Date]])</f>
        <v>10</v>
      </c>
      <c r="K460" s="13" t="str">
        <f>TEXT(Dataset[[#This Row],[Purchase_Date]],"mm - [$-409]mmmm")</f>
        <v>10 - October</v>
      </c>
      <c r="L460" s="11">
        <f>IF(Dataset[[#This Row],[Purchase_Date]]="","",YEAR(Dataset[[#This Row],[Purchase_Date]]))</f>
        <v>2024</v>
      </c>
      <c r="M460" s="11" t="str" cm="1">
        <f t="array" ref="M460">_xlfn.IFS(B460&lt;=25, "Young Adults", B460&lt;=35, "Emerging Professionals", B460&lt;=50, "Established Adults", TRUE, "Mature Customers")</f>
        <v>Established Adults</v>
      </c>
      <c r="N460" s="11" t="str">
        <f>IF(Dataset[[#This Row],[Total_Spent (€)]]&lt;10,"Low Spender",IF(Dataset[[#This Row],[Total_Spent (€)]]&lt;25,"Medium Spender","High Spender"))</f>
        <v>Medium Spender</v>
      </c>
    </row>
    <row r="461" spans="1:14" x14ac:dyDescent="0.2">
      <c r="A461" s="14" t="s">
        <v>112</v>
      </c>
      <c r="B461" s="11">
        <v>25</v>
      </c>
      <c r="C461" s="11" t="s">
        <v>842</v>
      </c>
      <c r="D461" s="11"/>
      <c r="F461" s="11" t="s">
        <v>111</v>
      </c>
      <c r="G461" s="11">
        <v>0</v>
      </c>
      <c r="H461" s="11">
        <v>9.1</v>
      </c>
      <c r="I461" s="11" t="str">
        <f>TEXT(Dataset[[#This Row],[Purchase_Date]],"[$-409]mmmm")</f>
        <v>January</v>
      </c>
      <c r="J461" s="12">
        <f>MONTH(Dataset[[#This Row],[Purchase_Date]])</f>
        <v>1</v>
      </c>
      <c r="K461" s="13" t="str">
        <f>TEXT(Dataset[[#This Row],[Purchase_Date]],"mm - [$-409]mmmm")</f>
        <v>01 - January</v>
      </c>
      <c r="L461" s="11" t="str">
        <f>IF(Dataset[[#This Row],[Purchase_Date]]="","",YEAR(Dataset[[#This Row],[Purchase_Date]]))</f>
        <v/>
      </c>
      <c r="M461" s="11" t="str" cm="1">
        <f t="array" ref="M461">_xlfn.IFS(B461&lt;=25, "Young Adults", B461&lt;=35, "Emerging Professionals", B461&lt;=50, "Established Adults", TRUE, "Mature Customers")</f>
        <v>Young Adults</v>
      </c>
      <c r="N461" s="11" t="str">
        <f>IF(Dataset[[#This Row],[Total_Spent (€)]]&lt;10,"Low Spender",IF(Dataset[[#This Row],[Total_Spent (€)]]&lt;25,"Medium Spender","High Spender"))</f>
        <v>Low Spender</v>
      </c>
    </row>
    <row r="462" spans="1:14" x14ac:dyDescent="0.2">
      <c r="A462" s="14" t="s">
        <v>110</v>
      </c>
      <c r="B462" s="11">
        <v>25</v>
      </c>
      <c r="C462" s="11" t="s">
        <v>20</v>
      </c>
      <c r="D462" s="11">
        <v>14.29</v>
      </c>
      <c r="E462" s="11" t="s">
        <v>109</v>
      </c>
      <c r="F462" s="11" t="s">
        <v>108</v>
      </c>
      <c r="G462" s="11">
        <v>1</v>
      </c>
      <c r="H462" s="11">
        <v>9.7100000000000009</v>
      </c>
      <c r="I462" s="11" t="str">
        <f>TEXT(Dataset[[#This Row],[Purchase_Date]],"[$-409]mmmm")</f>
        <v>May</v>
      </c>
      <c r="J462" s="12">
        <f>MONTH(Dataset[[#This Row],[Purchase_Date]])</f>
        <v>5</v>
      </c>
      <c r="K462" s="13" t="str">
        <f>TEXT(Dataset[[#This Row],[Purchase_Date]],"mm - [$-409]mmmm")</f>
        <v>05 - May</v>
      </c>
      <c r="L462" s="11">
        <f>IF(Dataset[[#This Row],[Purchase_Date]]="","",YEAR(Dataset[[#This Row],[Purchase_Date]]))</f>
        <v>2025</v>
      </c>
      <c r="M462" s="11" t="str" cm="1">
        <f t="array" ref="M462">_xlfn.IFS(B462&lt;=25, "Young Adults", B462&lt;=35, "Emerging Professionals", B462&lt;=50, "Established Adults", TRUE, "Mature Customers")</f>
        <v>Young Adults</v>
      </c>
      <c r="N462" s="11" t="str">
        <f>IF(Dataset[[#This Row],[Total_Spent (€)]]&lt;10,"Low Spender",IF(Dataset[[#This Row],[Total_Spent (€)]]&lt;25,"Medium Spender","High Spender"))</f>
        <v>Medium Spender</v>
      </c>
    </row>
    <row r="463" spans="1:14" x14ac:dyDescent="0.2">
      <c r="A463" s="14" t="s">
        <v>107</v>
      </c>
      <c r="B463" s="11">
        <v>47</v>
      </c>
      <c r="C463" s="11" t="s">
        <v>841</v>
      </c>
      <c r="D463" s="11">
        <v>39.450000000000003</v>
      </c>
      <c r="E463" s="11" t="s">
        <v>106</v>
      </c>
      <c r="F463" s="11" t="s">
        <v>105</v>
      </c>
      <c r="G463" s="11">
        <v>1</v>
      </c>
      <c r="H463" s="11">
        <v>9.9499999999999993</v>
      </c>
      <c r="I463" s="11" t="str">
        <f>TEXT(Dataset[[#This Row],[Purchase_Date]],"[$-409]mmmm")</f>
        <v>April</v>
      </c>
      <c r="J463" s="12">
        <f>MONTH(Dataset[[#This Row],[Purchase_Date]])</f>
        <v>4</v>
      </c>
      <c r="K463" s="13" t="str">
        <f>TEXT(Dataset[[#This Row],[Purchase_Date]],"mm - [$-409]mmmm")</f>
        <v>04 - April</v>
      </c>
      <c r="L463" s="11">
        <f>IF(Dataset[[#This Row],[Purchase_Date]]="","",YEAR(Dataset[[#This Row],[Purchase_Date]]))</f>
        <v>2025</v>
      </c>
      <c r="M463" s="11" t="str" cm="1">
        <f t="array" ref="M463">_xlfn.IFS(B463&lt;=25, "Young Adults", B463&lt;=35, "Emerging Professionals", B463&lt;=50, "Established Adults", TRUE, "Mature Customers")</f>
        <v>Established Adults</v>
      </c>
      <c r="N463" s="11" t="str">
        <f>IF(Dataset[[#This Row],[Total_Spent (€)]]&lt;10,"Low Spender",IF(Dataset[[#This Row],[Total_Spent (€)]]&lt;25,"Medium Spender","High Spender"))</f>
        <v>High Spender</v>
      </c>
    </row>
    <row r="464" spans="1:14" x14ac:dyDescent="0.2">
      <c r="A464" s="14" t="s">
        <v>104</v>
      </c>
      <c r="B464" s="11">
        <v>23</v>
      </c>
      <c r="C464" s="11" t="s">
        <v>843</v>
      </c>
      <c r="D464" s="11">
        <v>9.83</v>
      </c>
      <c r="E464" s="11" t="s">
        <v>103</v>
      </c>
      <c r="F464" s="11" t="s">
        <v>29</v>
      </c>
      <c r="G464" s="11">
        <v>1</v>
      </c>
      <c r="H464" s="11">
        <v>5.61</v>
      </c>
      <c r="I464" s="11" t="str">
        <f>TEXT(Dataset[[#This Row],[Purchase_Date]],"[$-409]mmmm")</f>
        <v>January</v>
      </c>
      <c r="J464" s="12">
        <f>MONTH(Dataset[[#This Row],[Purchase_Date]])</f>
        <v>1</v>
      </c>
      <c r="K464" s="13" t="str">
        <f>TEXT(Dataset[[#This Row],[Purchase_Date]],"mm - [$-409]mmmm")</f>
        <v>01 - January</v>
      </c>
      <c r="L464" s="11">
        <f>IF(Dataset[[#This Row],[Purchase_Date]]="","",YEAR(Dataset[[#This Row],[Purchase_Date]]))</f>
        <v>2025</v>
      </c>
      <c r="M464" s="11" t="str" cm="1">
        <f t="array" ref="M464">_xlfn.IFS(B464&lt;=25, "Young Adults", B464&lt;=35, "Emerging Professionals", B464&lt;=50, "Established Adults", TRUE, "Mature Customers")</f>
        <v>Young Adults</v>
      </c>
      <c r="N464" s="11" t="str">
        <f>IF(Dataset[[#This Row],[Total_Spent (€)]]&lt;10,"Low Spender",IF(Dataset[[#This Row],[Total_Spent (€)]]&lt;25,"Medium Spender","High Spender"))</f>
        <v>Low Spender</v>
      </c>
    </row>
    <row r="465" spans="1:14" x14ac:dyDescent="0.2">
      <c r="A465" s="14" t="s">
        <v>102</v>
      </c>
      <c r="B465" s="11">
        <v>21</v>
      </c>
      <c r="C465" s="11" t="s">
        <v>5</v>
      </c>
      <c r="D465" s="11">
        <v>18.84</v>
      </c>
      <c r="E465" s="11" t="s">
        <v>101</v>
      </c>
      <c r="F465" s="11" t="s">
        <v>100</v>
      </c>
      <c r="G465" s="11">
        <v>1</v>
      </c>
      <c r="H465" s="11">
        <v>6.58</v>
      </c>
      <c r="I465" s="11" t="str">
        <f>TEXT(Dataset[[#This Row],[Purchase_Date]],"[$-409]mmmm")</f>
        <v>August</v>
      </c>
      <c r="J465" s="12">
        <f>MONTH(Dataset[[#This Row],[Purchase_Date]])</f>
        <v>8</v>
      </c>
      <c r="K465" s="13" t="str">
        <f>TEXT(Dataset[[#This Row],[Purchase_Date]],"mm - [$-409]mmmm")</f>
        <v>08 - August</v>
      </c>
      <c r="L465" s="11">
        <f>IF(Dataset[[#This Row],[Purchase_Date]]="","",YEAR(Dataset[[#This Row],[Purchase_Date]]))</f>
        <v>2024</v>
      </c>
      <c r="M465" s="11" t="str" cm="1">
        <f t="array" ref="M465">_xlfn.IFS(B465&lt;=25, "Young Adults", B465&lt;=35, "Emerging Professionals", B465&lt;=50, "Established Adults", TRUE, "Mature Customers")</f>
        <v>Young Adults</v>
      </c>
      <c r="N465" s="11" t="str">
        <f>IF(Dataset[[#This Row],[Total_Spent (€)]]&lt;10,"Low Spender",IF(Dataset[[#This Row],[Total_Spent (€)]]&lt;25,"Medium Spender","High Spender"))</f>
        <v>Medium Spender</v>
      </c>
    </row>
    <row r="466" spans="1:14" x14ac:dyDescent="0.2">
      <c r="A466" s="14" t="s">
        <v>99</v>
      </c>
      <c r="B466" s="11">
        <v>26</v>
      </c>
      <c r="C466" s="11" t="s">
        <v>840</v>
      </c>
      <c r="D466" s="11"/>
      <c r="F466" s="11" t="s">
        <v>98</v>
      </c>
      <c r="G466" s="11">
        <v>0</v>
      </c>
      <c r="H466" s="11">
        <v>5.41</v>
      </c>
      <c r="I466" s="11" t="str">
        <f>TEXT(Dataset[[#This Row],[Purchase_Date]],"[$-409]mmmm")</f>
        <v>January</v>
      </c>
      <c r="J466" s="12">
        <f>MONTH(Dataset[[#This Row],[Purchase_Date]])</f>
        <v>1</v>
      </c>
      <c r="K466" s="13" t="str">
        <f>TEXT(Dataset[[#This Row],[Purchase_Date]],"mm - [$-409]mmmm")</f>
        <v>01 - January</v>
      </c>
      <c r="L466" s="11" t="str">
        <f>IF(Dataset[[#This Row],[Purchase_Date]]="","",YEAR(Dataset[[#This Row],[Purchase_Date]]))</f>
        <v/>
      </c>
      <c r="M466" s="11" t="str" cm="1">
        <f t="array" ref="M466">_xlfn.IFS(B466&lt;=25, "Young Adults", B466&lt;=35, "Emerging Professionals", B466&lt;=50, "Established Adults", TRUE, "Mature Customers")</f>
        <v>Emerging Professionals</v>
      </c>
      <c r="N466" s="11" t="str">
        <f>IF(Dataset[[#This Row],[Total_Spent (€)]]&lt;10,"Low Spender",IF(Dataset[[#This Row],[Total_Spent (€)]]&lt;25,"Medium Spender","High Spender"))</f>
        <v>Low Spender</v>
      </c>
    </row>
    <row r="467" spans="1:14" x14ac:dyDescent="0.2">
      <c r="A467" s="14" t="s">
        <v>97</v>
      </c>
      <c r="B467" s="11">
        <v>42</v>
      </c>
      <c r="C467" s="11" t="s">
        <v>86</v>
      </c>
      <c r="D467" s="11">
        <v>20.63</v>
      </c>
      <c r="E467" s="11" t="s">
        <v>96</v>
      </c>
      <c r="F467" s="11" t="s">
        <v>95</v>
      </c>
      <c r="G467" s="11">
        <v>1</v>
      </c>
      <c r="H467" s="11">
        <v>5.62</v>
      </c>
      <c r="I467" s="11" t="str">
        <f>TEXT(Dataset[[#This Row],[Purchase_Date]],"[$-409]mmmm")</f>
        <v>March</v>
      </c>
      <c r="J467" s="12">
        <f>MONTH(Dataset[[#This Row],[Purchase_Date]])</f>
        <v>3</v>
      </c>
      <c r="K467" s="13" t="str">
        <f>TEXT(Dataset[[#This Row],[Purchase_Date]],"mm - [$-409]mmmm")</f>
        <v>03 - March</v>
      </c>
      <c r="L467" s="11">
        <f>IF(Dataset[[#This Row],[Purchase_Date]]="","",YEAR(Dataset[[#This Row],[Purchase_Date]]))</f>
        <v>2025</v>
      </c>
      <c r="M467" s="11" t="str" cm="1">
        <f t="array" ref="M467">_xlfn.IFS(B467&lt;=25, "Young Adults", B467&lt;=35, "Emerging Professionals", B467&lt;=50, "Established Adults", TRUE, "Mature Customers")</f>
        <v>Established Adults</v>
      </c>
      <c r="N467" s="11" t="str">
        <f>IF(Dataset[[#This Row],[Total_Spent (€)]]&lt;10,"Low Spender",IF(Dataset[[#This Row],[Total_Spent (€)]]&lt;25,"Medium Spender","High Spender"))</f>
        <v>Medium Spender</v>
      </c>
    </row>
    <row r="468" spans="1:14" x14ac:dyDescent="0.2">
      <c r="A468" s="14" t="s">
        <v>94</v>
      </c>
      <c r="B468" s="11">
        <v>27</v>
      </c>
      <c r="C468" s="11" t="s">
        <v>841</v>
      </c>
      <c r="D468" s="11"/>
      <c r="F468" s="11" t="s">
        <v>93</v>
      </c>
      <c r="G468" s="11">
        <v>0</v>
      </c>
      <c r="H468" s="11">
        <v>3.32</v>
      </c>
      <c r="I468" s="11" t="str">
        <f>TEXT(Dataset[[#This Row],[Purchase_Date]],"[$-409]mmmm")</f>
        <v>January</v>
      </c>
      <c r="J468" s="12">
        <f>MONTH(Dataset[[#This Row],[Purchase_Date]])</f>
        <v>1</v>
      </c>
      <c r="K468" s="13" t="str">
        <f>TEXT(Dataset[[#This Row],[Purchase_Date]],"mm - [$-409]mmmm")</f>
        <v>01 - January</v>
      </c>
      <c r="L468" s="11" t="str">
        <f>IF(Dataset[[#This Row],[Purchase_Date]]="","",YEAR(Dataset[[#This Row],[Purchase_Date]]))</f>
        <v/>
      </c>
      <c r="M468" s="11" t="str" cm="1">
        <f t="array" ref="M468">_xlfn.IFS(B468&lt;=25, "Young Adults", B468&lt;=35, "Emerging Professionals", B468&lt;=50, "Established Adults", TRUE, "Mature Customers")</f>
        <v>Emerging Professionals</v>
      </c>
      <c r="N468" s="11" t="str">
        <f>IF(Dataset[[#This Row],[Total_Spent (€)]]&lt;10,"Low Spender",IF(Dataset[[#This Row],[Total_Spent (€)]]&lt;25,"Medium Spender","High Spender"))</f>
        <v>Low Spender</v>
      </c>
    </row>
    <row r="469" spans="1:14" x14ac:dyDescent="0.2">
      <c r="A469" s="14" t="s">
        <v>92</v>
      </c>
      <c r="B469" s="11">
        <v>22</v>
      </c>
      <c r="C469" s="11" t="s">
        <v>17</v>
      </c>
      <c r="D469" s="11"/>
      <c r="F469" s="11" t="s">
        <v>91</v>
      </c>
      <c r="G469" s="11">
        <v>0</v>
      </c>
      <c r="H469" s="11">
        <v>5.24</v>
      </c>
      <c r="I469" s="11" t="str">
        <f>TEXT(Dataset[[#This Row],[Purchase_Date]],"[$-409]mmmm")</f>
        <v>January</v>
      </c>
      <c r="J469" s="12">
        <f>MONTH(Dataset[[#This Row],[Purchase_Date]])</f>
        <v>1</v>
      </c>
      <c r="K469" s="13" t="str">
        <f>TEXT(Dataset[[#This Row],[Purchase_Date]],"mm - [$-409]mmmm")</f>
        <v>01 - January</v>
      </c>
      <c r="L469" s="11" t="str">
        <f>IF(Dataset[[#This Row],[Purchase_Date]]="","",YEAR(Dataset[[#This Row],[Purchase_Date]]))</f>
        <v/>
      </c>
      <c r="M469" s="11" t="str" cm="1">
        <f t="array" ref="M469">_xlfn.IFS(B469&lt;=25, "Young Adults", B469&lt;=35, "Emerging Professionals", B469&lt;=50, "Established Adults", TRUE, "Mature Customers")</f>
        <v>Young Adults</v>
      </c>
      <c r="N469" s="11" t="str">
        <f>IF(Dataset[[#This Row],[Total_Spent (€)]]&lt;10,"Low Spender",IF(Dataset[[#This Row],[Total_Spent (€)]]&lt;25,"Medium Spender","High Spender"))</f>
        <v>Low Spender</v>
      </c>
    </row>
    <row r="470" spans="1:14" x14ac:dyDescent="0.2">
      <c r="A470" s="14" t="s">
        <v>90</v>
      </c>
      <c r="B470" s="11">
        <v>44</v>
      </c>
      <c r="C470" s="11" t="s">
        <v>75</v>
      </c>
      <c r="D470" s="11">
        <v>15.73</v>
      </c>
      <c r="E470" s="11" t="s">
        <v>89</v>
      </c>
      <c r="F470" s="11" t="s">
        <v>88</v>
      </c>
      <c r="G470" s="11">
        <v>1</v>
      </c>
      <c r="H470" s="11">
        <v>8.91</v>
      </c>
      <c r="I470" s="11" t="str">
        <f>TEXT(Dataset[[#This Row],[Purchase_Date]],"[$-409]mmmm")</f>
        <v>September</v>
      </c>
      <c r="J470" s="12">
        <f>MONTH(Dataset[[#This Row],[Purchase_Date]])</f>
        <v>9</v>
      </c>
      <c r="K470" s="13" t="str">
        <f>TEXT(Dataset[[#This Row],[Purchase_Date]],"mm - [$-409]mmmm")</f>
        <v>09 - September</v>
      </c>
      <c r="L470" s="11">
        <f>IF(Dataset[[#This Row],[Purchase_Date]]="","",YEAR(Dataset[[#This Row],[Purchase_Date]]))</f>
        <v>2024</v>
      </c>
      <c r="M470" s="11" t="str" cm="1">
        <f t="array" ref="M470">_xlfn.IFS(B470&lt;=25, "Young Adults", B470&lt;=35, "Emerging Professionals", B470&lt;=50, "Established Adults", TRUE, "Mature Customers")</f>
        <v>Established Adults</v>
      </c>
      <c r="N470" s="11" t="str">
        <f>IF(Dataset[[#This Row],[Total_Spent (€)]]&lt;10,"Low Spender",IF(Dataset[[#This Row],[Total_Spent (€)]]&lt;25,"Medium Spender","High Spender"))</f>
        <v>Medium Spender</v>
      </c>
    </row>
    <row r="471" spans="1:14" x14ac:dyDescent="0.2">
      <c r="A471" s="14" t="s">
        <v>87</v>
      </c>
      <c r="B471" s="11">
        <v>31</v>
      </c>
      <c r="C471" s="11" t="s">
        <v>86</v>
      </c>
      <c r="D471" s="11"/>
      <c r="F471" s="11" t="s">
        <v>85</v>
      </c>
      <c r="G471" s="11">
        <v>0</v>
      </c>
      <c r="H471" s="11">
        <v>3.83</v>
      </c>
      <c r="I471" s="11" t="str">
        <f>TEXT(Dataset[[#This Row],[Purchase_Date]],"[$-409]mmmm")</f>
        <v>January</v>
      </c>
      <c r="J471" s="12">
        <f>MONTH(Dataset[[#This Row],[Purchase_Date]])</f>
        <v>1</v>
      </c>
      <c r="K471" s="13" t="str">
        <f>TEXT(Dataset[[#This Row],[Purchase_Date]],"mm - [$-409]mmmm")</f>
        <v>01 - January</v>
      </c>
      <c r="L471" s="11" t="str">
        <f>IF(Dataset[[#This Row],[Purchase_Date]]="","",YEAR(Dataset[[#This Row],[Purchase_Date]]))</f>
        <v/>
      </c>
      <c r="M471" s="11" t="str" cm="1">
        <f t="array" ref="M471">_xlfn.IFS(B471&lt;=25, "Young Adults", B471&lt;=35, "Emerging Professionals", B471&lt;=50, "Established Adults", TRUE, "Mature Customers")</f>
        <v>Emerging Professionals</v>
      </c>
      <c r="N471" s="11" t="str">
        <f>IF(Dataset[[#This Row],[Total_Spent (€)]]&lt;10,"Low Spender",IF(Dataset[[#This Row],[Total_Spent (€)]]&lt;25,"Medium Spender","High Spender"))</f>
        <v>Low Spender</v>
      </c>
    </row>
    <row r="472" spans="1:14" x14ac:dyDescent="0.2">
      <c r="A472" s="14" t="s">
        <v>84</v>
      </c>
      <c r="B472" s="11">
        <v>25</v>
      </c>
      <c r="C472" s="11" t="s">
        <v>43</v>
      </c>
      <c r="D472" s="11"/>
      <c r="F472" s="11" t="s">
        <v>83</v>
      </c>
      <c r="G472" s="11">
        <v>0</v>
      </c>
      <c r="H472" s="11">
        <v>9.5399999999999991</v>
      </c>
      <c r="I472" s="11" t="str">
        <f>TEXT(Dataset[[#This Row],[Purchase_Date]],"[$-409]mmmm")</f>
        <v>January</v>
      </c>
      <c r="J472" s="12">
        <f>MONTH(Dataset[[#This Row],[Purchase_Date]])</f>
        <v>1</v>
      </c>
      <c r="K472" s="13" t="str">
        <f>TEXT(Dataset[[#This Row],[Purchase_Date]],"mm - [$-409]mmmm")</f>
        <v>01 - January</v>
      </c>
      <c r="L472" s="11" t="str">
        <f>IF(Dataset[[#This Row],[Purchase_Date]]="","",YEAR(Dataset[[#This Row],[Purchase_Date]]))</f>
        <v/>
      </c>
      <c r="M472" s="11" t="str" cm="1">
        <f t="array" ref="M472">_xlfn.IFS(B472&lt;=25, "Young Adults", B472&lt;=35, "Emerging Professionals", B472&lt;=50, "Established Adults", TRUE, "Mature Customers")</f>
        <v>Young Adults</v>
      </c>
      <c r="N472" s="11" t="str">
        <f>IF(Dataset[[#This Row],[Total_Spent (€)]]&lt;10,"Low Spender",IF(Dataset[[#This Row],[Total_Spent (€)]]&lt;25,"Medium Spender","High Spender"))</f>
        <v>Low Spender</v>
      </c>
    </row>
    <row r="473" spans="1:14" x14ac:dyDescent="0.2">
      <c r="A473" s="14" t="s">
        <v>82</v>
      </c>
      <c r="B473" s="11">
        <v>19</v>
      </c>
      <c r="C473" s="11" t="s">
        <v>38</v>
      </c>
      <c r="D473" s="11">
        <v>11.23</v>
      </c>
      <c r="E473" s="11" t="s">
        <v>81</v>
      </c>
      <c r="F473" s="11" t="s">
        <v>80</v>
      </c>
      <c r="G473" s="11">
        <v>1</v>
      </c>
      <c r="H473" s="11">
        <v>4.57</v>
      </c>
      <c r="I473" s="11" t="str">
        <f>TEXT(Dataset[[#This Row],[Purchase_Date]],"[$-409]mmmm")</f>
        <v>January</v>
      </c>
      <c r="J473" s="12">
        <f>MONTH(Dataset[[#This Row],[Purchase_Date]])</f>
        <v>1</v>
      </c>
      <c r="K473" s="13" t="str">
        <f>TEXT(Dataset[[#This Row],[Purchase_Date]],"mm - [$-409]mmmm")</f>
        <v>01 - January</v>
      </c>
      <c r="L473" s="11">
        <f>IF(Dataset[[#This Row],[Purchase_Date]]="","",YEAR(Dataset[[#This Row],[Purchase_Date]]))</f>
        <v>2025</v>
      </c>
      <c r="M473" s="11" t="str" cm="1">
        <f t="array" ref="M473">_xlfn.IFS(B473&lt;=25, "Young Adults", B473&lt;=35, "Emerging Professionals", B473&lt;=50, "Established Adults", TRUE, "Mature Customers")</f>
        <v>Young Adults</v>
      </c>
      <c r="N473" s="11" t="str">
        <f>IF(Dataset[[#This Row],[Total_Spent (€)]]&lt;10,"Low Spender",IF(Dataset[[#This Row],[Total_Spent (€)]]&lt;25,"Medium Spender","High Spender"))</f>
        <v>Medium Spender</v>
      </c>
    </row>
    <row r="474" spans="1:14" x14ac:dyDescent="0.2">
      <c r="A474" s="14" t="s">
        <v>79</v>
      </c>
      <c r="B474" s="11">
        <v>37</v>
      </c>
      <c r="C474" s="11" t="s">
        <v>61</v>
      </c>
      <c r="D474" s="11">
        <v>13.2</v>
      </c>
      <c r="E474" s="11" t="s">
        <v>78</v>
      </c>
      <c r="F474" s="11" t="s">
        <v>77</v>
      </c>
      <c r="G474" s="11">
        <v>1</v>
      </c>
      <c r="H474" s="11">
        <v>3.84</v>
      </c>
      <c r="I474" s="11" t="str">
        <f>TEXT(Dataset[[#This Row],[Purchase_Date]],"[$-409]mmmm")</f>
        <v>October</v>
      </c>
      <c r="J474" s="12">
        <f>MONTH(Dataset[[#This Row],[Purchase_Date]])</f>
        <v>10</v>
      </c>
      <c r="K474" s="13" t="str">
        <f>TEXT(Dataset[[#This Row],[Purchase_Date]],"mm - [$-409]mmmm")</f>
        <v>10 - October</v>
      </c>
      <c r="L474" s="11">
        <f>IF(Dataset[[#This Row],[Purchase_Date]]="","",YEAR(Dataset[[#This Row],[Purchase_Date]]))</f>
        <v>2024</v>
      </c>
      <c r="M474" s="11" t="str" cm="1">
        <f t="array" ref="M474">_xlfn.IFS(B474&lt;=25, "Young Adults", B474&lt;=35, "Emerging Professionals", B474&lt;=50, "Established Adults", TRUE, "Mature Customers")</f>
        <v>Established Adults</v>
      </c>
      <c r="N474" s="11" t="str">
        <f>IF(Dataset[[#This Row],[Total_Spent (€)]]&lt;10,"Low Spender",IF(Dataset[[#This Row],[Total_Spent (€)]]&lt;25,"Medium Spender","High Spender"))</f>
        <v>Medium Spender</v>
      </c>
    </row>
    <row r="475" spans="1:14" x14ac:dyDescent="0.2">
      <c r="A475" s="14" t="s">
        <v>76</v>
      </c>
      <c r="B475" s="11">
        <v>49</v>
      </c>
      <c r="C475" s="11" t="s">
        <v>75</v>
      </c>
      <c r="D475" s="11">
        <v>19.03</v>
      </c>
      <c r="E475" s="11" t="s">
        <v>74</v>
      </c>
      <c r="F475" s="11" t="s">
        <v>68</v>
      </c>
      <c r="G475" s="11">
        <v>1</v>
      </c>
      <c r="H475" s="11">
        <v>8.85</v>
      </c>
      <c r="I475" s="11" t="str">
        <f>TEXT(Dataset[[#This Row],[Purchase_Date]],"[$-409]mmmm")</f>
        <v>January</v>
      </c>
      <c r="J475" s="12">
        <f>MONTH(Dataset[[#This Row],[Purchase_Date]])</f>
        <v>1</v>
      </c>
      <c r="K475" s="13" t="str">
        <f>TEXT(Dataset[[#This Row],[Purchase_Date]],"mm - [$-409]mmmm")</f>
        <v>01 - January</v>
      </c>
      <c r="L475" s="11">
        <f>IF(Dataset[[#This Row],[Purchase_Date]]="","",YEAR(Dataset[[#This Row],[Purchase_Date]]))</f>
        <v>2025</v>
      </c>
      <c r="M475" s="11" t="str" cm="1">
        <f t="array" ref="M475">_xlfn.IFS(B475&lt;=25, "Young Adults", B475&lt;=35, "Emerging Professionals", B475&lt;=50, "Established Adults", TRUE, "Mature Customers")</f>
        <v>Established Adults</v>
      </c>
      <c r="N475" s="11" t="str">
        <f>IF(Dataset[[#This Row],[Total_Spent (€)]]&lt;10,"Low Spender",IF(Dataset[[#This Row],[Total_Spent (€)]]&lt;25,"Medium Spender","High Spender"))</f>
        <v>Medium Spender</v>
      </c>
    </row>
    <row r="476" spans="1:14" x14ac:dyDescent="0.2">
      <c r="A476" s="14" t="s">
        <v>73</v>
      </c>
      <c r="B476" s="11">
        <v>28</v>
      </c>
      <c r="C476" s="11" t="s">
        <v>845</v>
      </c>
      <c r="D476" s="11">
        <v>20.86</v>
      </c>
      <c r="E476" s="11" t="s">
        <v>72</v>
      </c>
      <c r="F476" s="11" t="s">
        <v>71</v>
      </c>
      <c r="G476" s="11">
        <v>1</v>
      </c>
      <c r="H476" s="11">
        <v>5.92</v>
      </c>
      <c r="I476" s="11" t="str">
        <f>TEXT(Dataset[[#This Row],[Purchase_Date]],"[$-409]mmmm")</f>
        <v>February</v>
      </c>
      <c r="J476" s="12">
        <f>MONTH(Dataset[[#This Row],[Purchase_Date]])</f>
        <v>2</v>
      </c>
      <c r="K476" s="13" t="str">
        <f>TEXT(Dataset[[#This Row],[Purchase_Date]],"mm - [$-409]mmmm")</f>
        <v>02 - February</v>
      </c>
      <c r="L476" s="11">
        <f>IF(Dataset[[#This Row],[Purchase_Date]]="","",YEAR(Dataset[[#This Row],[Purchase_Date]]))</f>
        <v>2025</v>
      </c>
      <c r="M476" s="11" t="str" cm="1">
        <f t="array" ref="M476">_xlfn.IFS(B476&lt;=25, "Young Adults", B476&lt;=35, "Emerging Professionals", B476&lt;=50, "Established Adults", TRUE, "Mature Customers")</f>
        <v>Emerging Professionals</v>
      </c>
      <c r="N476" s="11" t="str">
        <f>IF(Dataset[[#This Row],[Total_Spent (€)]]&lt;10,"Low Spender",IF(Dataset[[#This Row],[Total_Spent (€)]]&lt;25,"Medium Spender","High Spender"))</f>
        <v>Medium Spender</v>
      </c>
    </row>
    <row r="477" spans="1:14" x14ac:dyDescent="0.2">
      <c r="A477" s="14" t="s">
        <v>70</v>
      </c>
      <c r="B477" s="11">
        <v>42</v>
      </c>
      <c r="C477" s="11" t="s">
        <v>840</v>
      </c>
      <c r="D477" s="11"/>
      <c r="F477" s="11" t="s">
        <v>49</v>
      </c>
      <c r="G477" s="11">
        <v>0</v>
      </c>
      <c r="H477" s="11">
        <v>2.83</v>
      </c>
      <c r="I477" s="11" t="str">
        <f>TEXT(Dataset[[#This Row],[Purchase_Date]],"[$-409]mmmm")</f>
        <v>January</v>
      </c>
      <c r="J477" s="12">
        <f>MONTH(Dataset[[#This Row],[Purchase_Date]])</f>
        <v>1</v>
      </c>
      <c r="K477" s="13" t="str">
        <f>TEXT(Dataset[[#This Row],[Purchase_Date]],"mm - [$-409]mmmm")</f>
        <v>01 - January</v>
      </c>
      <c r="L477" s="11" t="str">
        <f>IF(Dataset[[#This Row],[Purchase_Date]]="","",YEAR(Dataset[[#This Row],[Purchase_Date]]))</f>
        <v/>
      </c>
      <c r="M477" s="11" t="str" cm="1">
        <f t="array" ref="M477">_xlfn.IFS(B477&lt;=25, "Young Adults", B477&lt;=35, "Emerging Professionals", B477&lt;=50, "Established Adults", TRUE, "Mature Customers")</f>
        <v>Established Adults</v>
      </c>
      <c r="N477" s="11" t="str">
        <f>IF(Dataset[[#This Row],[Total_Spent (€)]]&lt;10,"Low Spender",IF(Dataset[[#This Row],[Total_Spent (€)]]&lt;25,"Medium Spender","High Spender"))</f>
        <v>Low Spender</v>
      </c>
    </row>
    <row r="478" spans="1:14" x14ac:dyDescent="0.2">
      <c r="A478" s="14" t="s">
        <v>69</v>
      </c>
      <c r="B478" s="11">
        <v>22</v>
      </c>
      <c r="C478" s="11" t="s">
        <v>847</v>
      </c>
      <c r="D478" s="11">
        <v>23.34</v>
      </c>
      <c r="E478" s="11" t="s">
        <v>68</v>
      </c>
      <c r="F478" s="11" t="s">
        <v>67</v>
      </c>
      <c r="G478" s="11">
        <v>1</v>
      </c>
      <c r="H478" s="11">
        <v>5.47</v>
      </c>
      <c r="I478" s="11" t="str">
        <f>TEXT(Dataset[[#This Row],[Purchase_Date]],"[$-409]mmmm")</f>
        <v>December</v>
      </c>
      <c r="J478" s="12">
        <f>MONTH(Dataset[[#This Row],[Purchase_Date]])</f>
        <v>12</v>
      </c>
      <c r="K478" s="13" t="str">
        <f>TEXT(Dataset[[#This Row],[Purchase_Date]],"mm - [$-409]mmmm")</f>
        <v>12 - December</v>
      </c>
      <c r="L478" s="11">
        <f>IF(Dataset[[#This Row],[Purchase_Date]]="","",YEAR(Dataset[[#This Row],[Purchase_Date]]))</f>
        <v>2024</v>
      </c>
      <c r="M478" s="11" t="str" cm="1">
        <f t="array" ref="M478">_xlfn.IFS(B478&lt;=25, "Young Adults", B478&lt;=35, "Emerging Professionals", B478&lt;=50, "Established Adults", TRUE, "Mature Customers")</f>
        <v>Young Adults</v>
      </c>
      <c r="N478" s="11" t="str">
        <f>IF(Dataset[[#This Row],[Total_Spent (€)]]&lt;10,"Low Spender",IF(Dataset[[#This Row],[Total_Spent (€)]]&lt;25,"Medium Spender","High Spender"))</f>
        <v>Medium Spender</v>
      </c>
    </row>
    <row r="479" spans="1:14" x14ac:dyDescent="0.2">
      <c r="A479" s="14" t="s">
        <v>66</v>
      </c>
      <c r="B479" s="11">
        <v>45</v>
      </c>
      <c r="C479" s="11" t="s">
        <v>840</v>
      </c>
      <c r="D479" s="11"/>
      <c r="F479" s="11" t="s">
        <v>65</v>
      </c>
      <c r="G479" s="11">
        <v>0</v>
      </c>
      <c r="H479" s="11">
        <v>8.92</v>
      </c>
      <c r="I479" s="11" t="str">
        <f>TEXT(Dataset[[#This Row],[Purchase_Date]],"[$-409]mmmm")</f>
        <v>January</v>
      </c>
      <c r="J479" s="12">
        <f>MONTH(Dataset[[#This Row],[Purchase_Date]])</f>
        <v>1</v>
      </c>
      <c r="K479" s="13" t="str">
        <f>TEXT(Dataset[[#This Row],[Purchase_Date]],"mm - [$-409]mmmm")</f>
        <v>01 - January</v>
      </c>
      <c r="L479" s="11" t="str">
        <f>IF(Dataset[[#This Row],[Purchase_Date]]="","",YEAR(Dataset[[#This Row],[Purchase_Date]]))</f>
        <v/>
      </c>
      <c r="M479" s="11" t="str" cm="1">
        <f t="array" ref="M479">_xlfn.IFS(B479&lt;=25, "Young Adults", B479&lt;=35, "Emerging Professionals", B479&lt;=50, "Established Adults", TRUE, "Mature Customers")</f>
        <v>Established Adults</v>
      </c>
      <c r="N479" s="11" t="str">
        <f>IF(Dataset[[#This Row],[Total_Spent (€)]]&lt;10,"Low Spender",IF(Dataset[[#This Row],[Total_Spent (€)]]&lt;25,"Medium Spender","High Spender"))</f>
        <v>Low Spender</v>
      </c>
    </row>
    <row r="480" spans="1:14" x14ac:dyDescent="0.2">
      <c r="A480" s="14" t="s">
        <v>64</v>
      </c>
      <c r="B480" s="11">
        <v>33</v>
      </c>
      <c r="C480" s="11" t="s">
        <v>13</v>
      </c>
      <c r="D480" s="11">
        <v>11.54</v>
      </c>
      <c r="E480" s="11" t="s">
        <v>63</v>
      </c>
      <c r="F480" s="11" t="s">
        <v>35</v>
      </c>
      <c r="G480" s="11">
        <v>1</v>
      </c>
      <c r="H480" s="11">
        <v>9.48</v>
      </c>
      <c r="I480" s="11" t="str">
        <f>TEXT(Dataset[[#This Row],[Purchase_Date]],"[$-409]mmmm")</f>
        <v>November</v>
      </c>
      <c r="J480" s="12">
        <f>MONTH(Dataset[[#This Row],[Purchase_Date]])</f>
        <v>11</v>
      </c>
      <c r="K480" s="13" t="str">
        <f>TEXT(Dataset[[#This Row],[Purchase_Date]],"mm - [$-409]mmmm")</f>
        <v>11 - November</v>
      </c>
      <c r="L480" s="11">
        <f>IF(Dataset[[#This Row],[Purchase_Date]]="","",YEAR(Dataset[[#This Row],[Purchase_Date]]))</f>
        <v>2024</v>
      </c>
      <c r="M480" s="11" t="str" cm="1">
        <f t="array" ref="M480">_xlfn.IFS(B480&lt;=25, "Young Adults", B480&lt;=35, "Emerging Professionals", B480&lt;=50, "Established Adults", TRUE, "Mature Customers")</f>
        <v>Emerging Professionals</v>
      </c>
      <c r="N480" s="11" t="str">
        <f>IF(Dataset[[#This Row],[Total_Spent (€)]]&lt;10,"Low Spender",IF(Dataset[[#This Row],[Total_Spent (€)]]&lt;25,"Medium Spender","High Spender"))</f>
        <v>Medium Spender</v>
      </c>
    </row>
    <row r="481" spans="1:14" x14ac:dyDescent="0.2">
      <c r="A481" s="14" t="s">
        <v>62</v>
      </c>
      <c r="B481" s="11">
        <v>52</v>
      </c>
      <c r="C481" s="11" t="s">
        <v>61</v>
      </c>
      <c r="D481" s="11">
        <v>19.96</v>
      </c>
      <c r="E481" s="11" t="s">
        <v>0</v>
      </c>
      <c r="F481" s="11" t="s">
        <v>60</v>
      </c>
      <c r="G481" s="11">
        <v>1</v>
      </c>
      <c r="H481" s="11">
        <v>4.76</v>
      </c>
      <c r="I481" s="11" t="str">
        <f>TEXT(Dataset[[#This Row],[Purchase_Date]],"[$-409]mmmm")</f>
        <v>October</v>
      </c>
      <c r="J481" s="12">
        <f>MONTH(Dataset[[#This Row],[Purchase_Date]])</f>
        <v>10</v>
      </c>
      <c r="K481" s="13" t="str">
        <f>TEXT(Dataset[[#This Row],[Purchase_Date]],"mm - [$-409]mmmm")</f>
        <v>10 - October</v>
      </c>
      <c r="L481" s="11">
        <f>IF(Dataset[[#This Row],[Purchase_Date]]="","",YEAR(Dataset[[#This Row],[Purchase_Date]]))</f>
        <v>2024</v>
      </c>
      <c r="M481" s="11" t="str" cm="1">
        <f t="array" ref="M481">_xlfn.IFS(B481&lt;=25, "Young Adults", B481&lt;=35, "Emerging Professionals", B481&lt;=50, "Established Adults", TRUE, "Mature Customers")</f>
        <v>Mature Customers</v>
      </c>
      <c r="N481" s="11" t="str">
        <f>IF(Dataset[[#This Row],[Total_Spent (€)]]&lt;10,"Low Spender",IF(Dataset[[#This Row],[Total_Spent (€)]]&lt;25,"Medium Spender","High Spender"))</f>
        <v>Medium Spender</v>
      </c>
    </row>
    <row r="482" spans="1:14" x14ac:dyDescent="0.2">
      <c r="A482" s="14" t="s">
        <v>59</v>
      </c>
      <c r="B482" s="11">
        <v>18</v>
      </c>
      <c r="C482" s="11" t="s">
        <v>38</v>
      </c>
      <c r="D482" s="11">
        <v>21</v>
      </c>
      <c r="E482" s="11" t="s">
        <v>58</v>
      </c>
      <c r="F482" s="11" t="s">
        <v>57</v>
      </c>
      <c r="G482" s="11">
        <v>1</v>
      </c>
      <c r="H482" s="11">
        <v>9.83</v>
      </c>
      <c r="I482" s="11" t="str">
        <f>TEXT(Dataset[[#This Row],[Purchase_Date]],"[$-409]mmmm")</f>
        <v>February</v>
      </c>
      <c r="J482" s="12">
        <f>MONTH(Dataset[[#This Row],[Purchase_Date]])</f>
        <v>2</v>
      </c>
      <c r="K482" s="13" t="str">
        <f>TEXT(Dataset[[#This Row],[Purchase_Date]],"mm - [$-409]mmmm")</f>
        <v>02 - February</v>
      </c>
      <c r="L482" s="11">
        <f>IF(Dataset[[#This Row],[Purchase_Date]]="","",YEAR(Dataset[[#This Row],[Purchase_Date]]))</f>
        <v>2025</v>
      </c>
      <c r="M482" s="11" t="str" cm="1">
        <f t="array" ref="M482">_xlfn.IFS(B482&lt;=25, "Young Adults", B482&lt;=35, "Emerging Professionals", B482&lt;=50, "Established Adults", TRUE, "Mature Customers")</f>
        <v>Young Adults</v>
      </c>
      <c r="N482" s="11" t="str">
        <f>IF(Dataset[[#This Row],[Total_Spent (€)]]&lt;10,"Low Spender",IF(Dataset[[#This Row],[Total_Spent (€)]]&lt;25,"Medium Spender","High Spender"))</f>
        <v>Medium Spender</v>
      </c>
    </row>
    <row r="483" spans="1:14" x14ac:dyDescent="0.2">
      <c r="A483" s="14" t="s">
        <v>56</v>
      </c>
      <c r="B483" s="11">
        <v>40</v>
      </c>
      <c r="C483" s="11" t="s">
        <v>30</v>
      </c>
      <c r="D483" s="11">
        <v>30.01</v>
      </c>
      <c r="E483" s="11" t="s">
        <v>55</v>
      </c>
      <c r="F483" s="11" t="s">
        <v>54</v>
      </c>
      <c r="G483" s="11">
        <v>1</v>
      </c>
      <c r="H483" s="11">
        <v>5.8</v>
      </c>
      <c r="I483" s="11" t="str">
        <f>TEXT(Dataset[[#This Row],[Purchase_Date]],"[$-409]mmmm")</f>
        <v>May</v>
      </c>
      <c r="J483" s="12">
        <f>MONTH(Dataset[[#This Row],[Purchase_Date]])</f>
        <v>5</v>
      </c>
      <c r="K483" s="13" t="str">
        <f>TEXT(Dataset[[#This Row],[Purchase_Date]],"mm - [$-409]mmmm")</f>
        <v>05 - May</v>
      </c>
      <c r="L483" s="11">
        <f>IF(Dataset[[#This Row],[Purchase_Date]]="","",YEAR(Dataset[[#This Row],[Purchase_Date]]))</f>
        <v>2025</v>
      </c>
      <c r="M483" s="11" t="str" cm="1">
        <f t="array" ref="M483">_xlfn.IFS(B483&lt;=25, "Young Adults", B483&lt;=35, "Emerging Professionals", B483&lt;=50, "Established Adults", TRUE, "Mature Customers")</f>
        <v>Established Adults</v>
      </c>
      <c r="N483" s="11" t="str">
        <f>IF(Dataset[[#This Row],[Total_Spent (€)]]&lt;10,"Low Spender",IF(Dataset[[#This Row],[Total_Spent (€)]]&lt;25,"Medium Spender","High Spender"))</f>
        <v>High Spender</v>
      </c>
    </row>
    <row r="484" spans="1:14" x14ac:dyDescent="0.2">
      <c r="A484" s="14" t="s">
        <v>53</v>
      </c>
      <c r="B484" s="11">
        <v>49</v>
      </c>
      <c r="C484" s="11" t="s">
        <v>20</v>
      </c>
      <c r="D484" s="11">
        <v>11.78</v>
      </c>
      <c r="E484" s="11" t="s">
        <v>52</v>
      </c>
      <c r="F484" s="11" t="s">
        <v>51</v>
      </c>
      <c r="G484" s="11">
        <v>1</v>
      </c>
      <c r="H484" s="11">
        <v>6.62</v>
      </c>
      <c r="I484" s="11" t="str">
        <f>TEXT(Dataset[[#This Row],[Purchase_Date]],"[$-409]mmmm")</f>
        <v>January</v>
      </c>
      <c r="J484" s="12">
        <f>MONTH(Dataset[[#This Row],[Purchase_Date]])</f>
        <v>1</v>
      </c>
      <c r="K484" s="13" t="str">
        <f>TEXT(Dataset[[#This Row],[Purchase_Date]],"mm - [$-409]mmmm")</f>
        <v>01 - January</v>
      </c>
      <c r="L484" s="11">
        <f>IF(Dataset[[#This Row],[Purchase_Date]]="","",YEAR(Dataset[[#This Row],[Purchase_Date]]))</f>
        <v>2025</v>
      </c>
      <c r="M484" s="11" t="str" cm="1">
        <f t="array" ref="M484">_xlfn.IFS(B484&lt;=25, "Young Adults", B484&lt;=35, "Emerging Professionals", B484&lt;=50, "Established Adults", TRUE, "Mature Customers")</f>
        <v>Established Adults</v>
      </c>
      <c r="N484" s="11" t="str">
        <f>IF(Dataset[[#This Row],[Total_Spent (€)]]&lt;10,"Low Spender",IF(Dataset[[#This Row],[Total_Spent (€)]]&lt;25,"Medium Spender","High Spender"))</f>
        <v>Medium Spender</v>
      </c>
    </row>
    <row r="485" spans="1:14" x14ac:dyDescent="0.2">
      <c r="A485" s="14" t="s">
        <v>50</v>
      </c>
      <c r="B485" s="11">
        <v>42</v>
      </c>
      <c r="C485" s="11" t="s">
        <v>840</v>
      </c>
      <c r="D485" s="11"/>
      <c r="F485" s="11" t="s">
        <v>49</v>
      </c>
      <c r="G485" s="11">
        <v>0</v>
      </c>
      <c r="H485" s="11">
        <v>9.86</v>
      </c>
      <c r="I485" s="11" t="str">
        <f>TEXT(Dataset[[#This Row],[Purchase_Date]],"[$-409]mmmm")</f>
        <v>January</v>
      </c>
      <c r="J485" s="12">
        <f>MONTH(Dataset[[#This Row],[Purchase_Date]])</f>
        <v>1</v>
      </c>
      <c r="K485" s="13" t="str">
        <f>TEXT(Dataset[[#This Row],[Purchase_Date]],"mm - [$-409]mmmm")</f>
        <v>01 - January</v>
      </c>
      <c r="L485" s="11" t="str">
        <f>IF(Dataset[[#This Row],[Purchase_Date]]="","",YEAR(Dataset[[#This Row],[Purchase_Date]]))</f>
        <v/>
      </c>
      <c r="M485" s="11" t="str" cm="1">
        <f t="array" ref="M485">_xlfn.IFS(B485&lt;=25, "Young Adults", B485&lt;=35, "Emerging Professionals", B485&lt;=50, "Established Adults", TRUE, "Mature Customers")</f>
        <v>Established Adults</v>
      </c>
      <c r="N485" s="11" t="str">
        <f>IF(Dataset[[#This Row],[Total_Spent (€)]]&lt;10,"Low Spender",IF(Dataset[[#This Row],[Total_Spent (€)]]&lt;25,"Medium Spender","High Spender"))</f>
        <v>Low Spender</v>
      </c>
    </row>
    <row r="486" spans="1:14" x14ac:dyDescent="0.2">
      <c r="A486" s="14" t="s">
        <v>48</v>
      </c>
      <c r="B486" s="11">
        <v>48</v>
      </c>
      <c r="C486" s="11" t="s">
        <v>38</v>
      </c>
      <c r="D486" s="11"/>
      <c r="F486" s="11" t="s">
        <v>47</v>
      </c>
      <c r="G486" s="11">
        <v>0</v>
      </c>
      <c r="H486" s="11">
        <v>3.74</v>
      </c>
      <c r="I486" s="11" t="str">
        <f>TEXT(Dataset[[#This Row],[Purchase_Date]],"[$-409]mmmm")</f>
        <v>January</v>
      </c>
      <c r="J486" s="12">
        <f>MONTH(Dataset[[#This Row],[Purchase_Date]])</f>
        <v>1</v>
      </c>
      <c r="K486" s="13" t="str">
        <f>TEXT(Dataset[[#This Row],[Purchase_Date]],"mm - [$-409]mmmm")</f>
        <v>01 - January</v>
      </c>
      <c r="L486" s="11" t="str">
        <f>IF(Dataset[[#This Row],[Purchase_Date]]="","",YEAR(Dataset[[#This Row],[Purchase_Date]]))</f>
        <v/>
      </c>
      <c r="M486" s="11" t="str" cm="1">
        <f t="array" ref="M486">_xlfn.IFS(B486&lt;=25, "Young Adults", B486&lt;=35, "Emerging Professionals", B486&lt;=50, "Established Adults", TRUE, "Mature Customers")</f>
        <v>Established Adults</v>
      </c>
      <c r="N486" s="11" t="str">
        <f>IF(Dataset[[#This Row],[Total_Spent (€)]]&lt;10,"Low Spender",IF(Dataset[[#This Row],[Total_Spent (€)]]&lt;25,"Medium Spender","High Spender"))</f>
        <v>Low Spender</v>
      </c>
    </row>
    <row r="487" spans="1:14" x14ac:dyDescent="0.2">
      <c r="A487" s="14" t="s">
        <v>46</v>
      </c>
      <c r="B487" s="11">
        <v>33</v>
      </c>
      <c r="C487" s="11" t="s">
        <v>845</v>
      </c>
      <c r="D487" s="11"/>
      <c r="F487" s="11" t="s">
        <v>45</v>
      </c>
      <c r="G487" s="11">
        <v>0</v>
      </c>
      <c r="H487" s="11">
        <v>4.03</v>
      </c>
      <c r="I487" s="11" t="str">
        <f>TEXT(Dataset[[#This Row],[Purchase_Date]],"[$-409]mmmm")</f>
        <v>January</v>
      </c>
      <c r="J487" s="12">
        <f>MONTH(Dataset[[#This Row],[Purchase_Date]])</f>
        <v>1</v>
      </c>
      <c r="K487" s="13" t="str">
        <f>TEXT(Dataset[[#This Row],[Purchase_Date]],"mm - [$-409]mmmm")</f>
        <v>01 - January</v>
      </c>
      <c r="L487" s="11" t="str">
        <f>IF(Dataset[[#This Row],[Purchase_Date]]="","",YEAR(Dataset[[#This Row],[Purchase_Date]]))</f>
        <v/>
      </c>
      <c r="M487" s="11" t="str" cm="1">
        <f t="array" ref="M487">_xlfn.IFS(B487&lt;=25, "Young Adults", B487&lt;=35, "Emerging Professionals", B487&lt;=50, "Established Adults", TRUE, "Mature Customers")</f>
        <v>Emerging Professionals</v>
      </c>
      <c r="N487" s="11" t="str">
        <f>IF(Dataset[[#This Row],[Total_Spent (€)]]&lt;10,"Low Spender",IF(Dataset[[#This Row],[Total_Spent (€)]]&lt;25,"Medium Spender","High Spender"))</f>
        <v>Low Spender</v>
      </c>
    </row>
    <row r="488" spans="1:14" x14ac:dyDescent="0.2">
      <c r="A488" s="14" t="s">
        <v>44</v>
      </c>
      <c r="B488" s="11">
        <v>36</v>
      </c>
      <c r="C488" s="11" t="s">
        <v>43</v>
      </c>
      <c r="D488" s="11"/>
      <c r="F488" s="11" t="s">
        <v>42</v>
      </c>
      <c r="G488" s="11">
        <v>0</v>
      </c>
      <c r="H488" s="11">
        <v>9.74</v>
      </c>
      <c r="I488" s="11" t="str">
        <f>TEXT(Dataset[[#This Row],[Purchase_Date]],"[$-409]mmmm")</f>
        <v>January</v>
      </c>
      <c r="J488" s="12">
        <f>MONTH(Dataset[[#This Row],[Purchase_Date]])</f>
        <v>1</v>
      </c>
      <c r="K488" s="13" t="str">
        <f>TEXT(Dataset[[#This Row],[Purchase_Date]],"mm - [$-409]mmmm")</f>
        <v>01 - January</v>
      </c>
      <c r="L488" s="11" t="str">
        <f>IF(Dataset[[#This Row],[Purchase_Date]]="","",YEAR(Dataset[[#This Row],[Purchase_Date]]))</f>
        <v/>
      </c>
      <c r="M488" s="11" t="str" cm="1">
        <f t="array" ref="M488">_xlfn.IFS(B488&lt;=25, "Young Adults", B488&lt;=35, "Emerging Professionals", B488&lt;=50, "Established Adults", TRUE, "Mature Customers")</f>
        <v>Established Adults</v>
      </c>
      <c r="N488" s="11" t="str">
        <f>IF(Dataset[[#This Row],[Total_Spent (€)]]&lt;10,"Low Spender",IF(Dataset[[#This Row],[Total_Spent (€)]]&lt;25,"Medium Spender","High Spender"))</f>
        <v>Low Spender</v>
      </c>
    </row>
    <row r="489" spans="1:14" x14ac:dyDescent="0.2">
      <c r="A489" s="14" t="s">
        <v>41</v>
      </c>
      <c r="B489" s="11">
        <v>18</v>
      </c>
      <c r="C489" s="11" t="s">
        <v>840</v>
      </c>
      <c r="D489" s="11"/>
      <c r="F489" s="11" t="s">
        <v>40</v>
      </c>
      <c r="G489" s="11">
        <v>0</v>
      </c>
      <c r="H489" s="11">
        <v>8.67</v>
      </c>
      <c r="I489" s="11" t="str">
        <f>TEXT(Dataset[[#This Row],[Purchase_Date]],"[$-409]mmmm")</f>
        <v>January</v>
      </c>
      <c r="J489" s="12">
        <f>MONTH(Dataset[[#This Row],[Purchase_Date]])</f>
        <v>1</v>
      </c>
      <c r="K489" s="13" t="str">
        <f>TEXT(Dataset[[#This Row],[Purchase_Date]],"mm - [$-409]mmmm")</f>
        <v>01 - January</v>
      </c>
      <c r="L489" s="11" t="str">
        <f>IF(Dataset[[#This Row],[Purchase_Date]]="","",YEAR(Dataset[[#This Row],[Purchase_Date]]))</f>
        <v/>
      </c>
      <c r="M489" s="11" t="str" cm="1">
        <f t="array" ref="M489">_xlfn.IFS(B489&lt;=25, "Young Adults", B489&lt;=35, "Emerging Professionals", B489&lt;=50, "Established Adults", TRUE, "Mature Customers")</f>
        <v>Young Adults</v>
      </c>
      <c r="N489" s="11" t="str">
        <f>IF(Dataset[[#This Row],[Total_Spent (€)]]&lt;10,"Low Spender",IF(Dataset[[#This Row],[Total_Spent (€)]]&lt;25,"Medium Spender","High Spender"))</f>
        <v>Low Spender</v>
      </c>
    </row>
    <row r="490" spans="1:14" x14ac:dyDescent="0.2">
      <c r="A490" s="14" t="s">
        <v>39</v>
      </c>
      <c r="B490" s="11">
        <v>19</v>
      </c>
      <c r="C490" s="11" t="s">
        <v>38</v>
      </c>
      <c r="D490" s="11"/>
      <c r="F490" s="11" t="s">
        <v>37</v>
      </c>
      <c r="G490" s="11">
        <v>0</v>
      </c>
      <c r="H490" s="11">
        <v>7.7</v>
      </c>
      <c r="I490" s="11" t="str">
        <f>TEXT(Dataset[[#This Row],[Purchase_Date]],"[$-409]mmmm")</f>
        <v>January</v>
      </c>
      <c r="J490" s="12">
        <f>MONTH(Dataset[[#This Row],[Purchase_Date]])</f>
        <v>1</v>
      </c>
      <c r="K490" s="13" t="str">
        <f>TEXT(Dataset[[#This Row],[Purchase_Date]],"mm - [$-409]mmmm")</f>
        <v>01 - January</v>
      </c>
      <c r="L490" s="11" t="str">
        <f>IF(Dataset[[#This Row],[Purchase_Date]]="","",YEAR(Dataset[[#This Row],[Purchase_Date]]))</f>
        <v/>
      </c>
      <c r="M490" s="11" t="str" cm="1">
        <f t="array" ref="M490">_xlfn.IFS(B490&lt;=25, "Young Adults", B490&lt;=35, "Emerging Professionals", B490&lt;=50, "Established Adults", TRUE, "Mature Customers")</f>
        <v>Young Adults</v>
      </c>
      <c r="N490" s="11" t="str">
        <f>IF(Dataset[[#This Row],[Total_Spent (€)]]&lt;10,"Low Spender",IF(Dataset[[#This Row],[Total_Spent (€)]]&lt;25,"Medium Spender","High Spender"))</f>
        <v>Low Spender</v>
      </c>
    </row>
    <row r="491" spans="1:14" x14ac:dyDescent="0.2">
      <c r="A491" s="14" t="s">
        <v>36</v>
      </c>
      <c r="B491" s="11">
        <v>33</v>
      </c>
      <c r="C491" s="11" t="s">
        <v>17</v>
      </c>
      <c r="D491" s="11">
        <v>13.54</v>
      </c>
      <c r="E491" s="11" t="s">
        <v>35</v>
      </c>
      <c r="F491" s="11" t="s">
        <v>34</v>
      </c>
      <c r="G491" s="11">
        <v>1</v>
      </c>
      <c r="H491" s="11">
        <v>7.84</v>
      </c>
      <c r="I491" s="11" t="str">
        <f>TEXT(Dataset[[#This Row],[Purchase_Date]],"[$-409]mmmm")</f>
        <v>November</v>
      </c>
      <c r="J491" s="12">
        <f>MONTH(Dataset[[#This Row],[Purchase_Date]])</f>
        <v>11</v>
      </c>
      <c r="K491" s="13" t="str">
        <f>TEXT(Dataset[[#This Row],[Purchase_Date]],"mm - [$-409]mmmm")</f>
        <v>11 - November</v>
      </c>
      <c r="L491" s="11">
        <f>IF(Dataset[[#This Row],[Purchase_Date]]="","",YEAR(Dataset[[#This Row],[Purchase_Date]]))</f>
        <v>2024</v>
      </c>
      <c r="M491" s="11" t="str" cm="1">
        <f t="array" ref="M491">_xlfn.IFS(B491&lt;=25, "Young Adults", B491&lt;=35, "Emerging Professionals", B491&lt;=50, "Established Adults", TRUE, "Mature Customers")</f>
        <v>Emerging Professionals</v>
      </c>
      <c r="N491" s="11" t="str">
        <f>IF(Dataset[[#This Row],[Total_Spent (€)]]&lt;10,"Low Spender",IF(Dataset[[#This Row],[Total_Spent (€)]]&lt;25,"Medium Spender","High Spender"))</f>
        <v>Medium Spender</v>
      </c>
    </row>
    <row r="492" spans="1:14" x14ac:dyDescent="0.2">
      <c r="A492" s="14" t="s">
        <v>33</v>
      </c>
      <c r="B492" s="11">
        <v>48</v>
      </c>
      <c r="C492" s="11" t="s">
        <v>842</v>
      </c>
      <c r="D492" s="11"/>
      <c r="F492" s="11" t="s">
        <v>32</v>
      </c>
      <c r="G492" s="11">
        <v>0</v>
      </c>
      <c r="H492" s="11">
        <v>5.56</v>
      </c>
      <c r="I492" s="11" t="str">
        <f>TEXT(Dataset[[#This Row],[Purchase_Date]],"[$-409]mmmm")</f>
        <v>January</v>
      </c>
      <c r="J492" s="12">
        <f>MONTH(Dataset[[#This Row],[Purchase_Date]])</f>
        <v>1</v>
      </c>
      <c r="K492" s="13" t="str">
        <f>TEXT(Dataset[[#This Row],[Purchase_Date]],"mm - [$-409]mmmm")</f>
        <v>01 - January</v>
      </c>
      <c r="L492" s="11" t="str">
        <f>IF(Dataset[[#This Row],[Purchase_Date]]="","",YEAR(Dataset[[#This Row],[Purchase_Date]]))</f>
        <v/>
      </c>
      <c r="M492" s="11" t="str" cm="1">
        <f t="array" ref="M492">_xlfn.IFS(B492&lt;=25, "Young Adults", B492&lt;=35, "Emerging Professionals", B492&lt;=50, "Established Adults", TRUE, "Mature Customers")</f>
        <v>Established Adults</v>
      </c>
      <c r="N492" s="11" t="str">
        <f>IF(Dataset[[#This Row],[Total_Spent (€)]]&lt;10,"Low Spender",IF(Dataset[[#This Row],[Total_Spent (€)]]&lt;25,"Medium Spender","High Spender"))</f>
        <v>Low Spender</v>
      </c>
    </row>
    <row r="493" spans="1:14" x14ac:dyDescent="0.2">
      <c r="A493" s="14" t="s">
        <v>31</v>
      </c>
      <c r="B493" s="11">
        <v>19</v>
      </c>
      <c r="C493" s="11" t="s">
        <v>30</v>
      </c>
      <c r="D493" s="11">
        <v>14.23</v>
      </c>
      <c r="E493" s="11" t="s">
        <v>29</v>
      </c>
      <c r="F493" s="11" t="s">
        <v>28</v>
      </c>
      <c r="G493" s="11">
        <v>1</v>
      </c>
      <c r="H493" s="11">
        <v>7.62</v>
      </c>
      <c r="I493" s="11" t="str">
        <f>TEXT(Dataset[[#This Row],[Purchase_Date]],"[$-409]mmmm")</f>
        <v>December</v>
      </c>
      <c r="J493" s="12">
        <f>MONTH(Dataset[[#This Row],[Purchase_Date]])</f>
        <v>12</v>
      </c>
      <c r="K493" s="13" t="str">
        <f>TEXT(Dataset[[#This Row],[Purchase_Date]],"mm - [$-409]mmmm")</f>
        <v>12 - December</v>
      </c>
      <c r="L493" s="11">
        <f>IF(Dataset[[#This Row],[Purchase_Date]]="","",YEAR(Dataset[[#This Row],[Purchase_Date]]))</f>
        <v>2024</v>
      </c>
      <c r="M493" s="11" t="str" cm="1">
        <f t="array" ref="M493">_xlfn.IFS(B493&lt;=25, "Young Adults", B493&lt;=35, "Emerging Professionals", B493&lt;=50, "Established Adults", TRUE, "Mature Customers")</f>
        <v>Young Adults</v>
      </c>
      <c r="N493" s="11" t="str">
        <f>IF(Dataset[[#This Row],[Total_Spent (€)]]&lt;10,"Low Spender",IF(Dataset[[#This Row],[Total_Spent (€)]]&lt;25,"Medium Spender","High Spender"))</f>
        <v>Medium Spender</v>
      </c>
    </row>
    <row r="494" spans="1:14" x14ac:dyDescent="0.2">
      <c r="A494" s="14" t="s">
        <v>27</v>
      </c>
      <c r="B494" s="11">
        <v>50</v>
      </c>
      <c r="C494" s="11" t="s">
        <v>20</v>
      </c>
      <c r="D494" s="11">
        <v>12.36</v>
      </c>
      <c r="E494" s="11" t="s">
        <v>26</v>
      </c>
      <c r="F494" s="11" t="s">
        <v>25</v>
      </c>
      <c r="G494" s="11">
        <v>1</v>
      </c>
      <c r="H494" s="11">
        <v>4</v>
      </c>
      <c r="I494" s="11" t="str">
        <f>TEXT(Dataset[[#This Row],[Purchase_Date]],"[$-409]mmmm")</f>
        <v>July</v>
      </c>
      <c r="J494" s="12">
        <f>MONTH(Dataset[[#This Row],[Purchase_Date]])</f>
        <v>7</v>
      </c>
      <c r="K494" s="13" t="str">
        <f>TEXT(Dataset[[#This Row],[Purchase_Date]],"mm - [$-409]mmmm")</f>
        <v>07 - July</v>
      </c>
      <c r="L494" s="11">
        <f>IF(Dataset[[#This Row],[Purchase_Date]]="","",YEAR(Dataset[[#This Row],[Purchase_Date]]))</f>
        <v>2024</v>
      </c>
      <c r="M494" s="11" t="str" cm="1">
        <f t="array" ref="M494">_xlfn.IFS(B494&lt;=25, "Young Adults", B494&lt;=35, "Emerging Professionals", B494&lt;=50, "Established Adults", TRUE, "Mature Customers")</f>
        <v>Established Adults</v>
      </c>
      <c r="N494" s="11" t="str">
        <f>IF(Dataset[[#This Row],[Total_Spent (€)]]&lt;10,"Low Spender",IF(Dataset[[#This Row],[Total_Spent (€)]]&lt;25,"Medium Spender","High Spender"))</f>
        <v>Medium Spender</v>
      </c>
    </row>
    <row r="495" spans="1:14" x14ac:dyDescent="0.2">
      <c r="A495" s="14" t="s">
        <v>24</v>
      </c>
      <c r="B495" s="11">
        <v>53</v>
      </c>
      <c r="C495" s="11" t="s">
        <v>17</v>
      </c>
      <c r="D495" s="11">
        <v>9.6999999999999993</v>
      </c>
      <c r="E495" s="11" t="s">
        <v>23</v>
      </c>
      <c r="F495" s="11" t="s">
        <v>22</v>
      </c>
      <c r="G495" s="11">
        <v>1</v>
      </c>
      <c r="H495" s="11">
        <v>9.93</v>
      </c>
      <c r="I495" s="11" t="str">
        <f>TEXT(Dataset[[#This Row],[Purchase_Date]],"[$-409]mmmm")</f>
        <v>July</v>
      </c>
      <c r="J495" s="12">
        <f>MONTH(Dataset[[#This Row],[Purchase_Date]])</f>
        <v>7</v>
      </c>
      <c r="K495" s="13" t="str">
        <f>TEXT(Dataset[[#This Row],[Purchase_Date]],"mm - [$-409]mmmm")</f>
        <v>07 - July</v>
      </c>
      <c r="L495" s="11">
        <f>IF(Dataset[[#This Row],[Purchase_Date]]="","",YEAR(Dataset[[#This Row],[Purchase_Date]]))</f>
        <v>2024</v>
      </c>
      <c r="M495" s="11" t="str" cm="1">
        <f t="array" ref="M495">_xlfn.IFS(B495&lt;=25, "Young Adults", B495&lt;=35, "Emerging Professionals", B495&lt;=50, "Established Adults", TRUE, "Mature Customers")</f>
        <v>Mature Customers</v>
      </c>
      <c r="N495" s="11" t="str">
        <f>IF(Dataset[[#This Row],[Total_Spent (€)]]&lt;10,"Low Spender",IF(Dataset[[#This Row],[Total_Spent (€)]]&lt;25,"Medium Spender","High Spender"))</f>
        <v>Low Spender</v>
      </c>
    </row>
    <row r="496" spans="1:14" x14ac:dyDescent="0.2">
      <c r="A496" s="14" t="s">
        <v>21</v>
      </c>
      <c r="B496" s="11">
        <v>29</v>
      </c>
      <c r="C496" s="11" t="s">
        <v>20</v>
      </c>
      <c r="D496" s="11"/>
      <c r="F496" s="11" t="s">
        <v>19</v>
      </c>
      <c r="G496" s="11">
        <v>0</v>
      </c>
      <c r="H496" s="11">
        <v>5.62</v>
      </c>
      <c r="I496" s="11" t="str">
        <f>TEXT(Dataset[[#This Row],[Purchase_Date]],"[$-409]mmmm")</f>
        <v>January</v>
      </c>
      <c r="J496" s="12">
        <f>MONTH(Dataset[[#This Row],[Purchase_Date]])</f>
        <v>1</v>
      </c>
      <c r="K496" s="13" t="str">
        <f>TEXT(Dataset[[#This Row],[Purchase_Date]],"mm - [$-409]mmmm")</f>
        <v>01 - January</v>
      </c>
      <c r="L496" s="11" t="str">
        <f>IF(Dataset[[#This Row],[Purchase_Date]]="","",YEAR(Dataset[[#This Row],[Purchase_Date]]))</f>
        <v/>
      </c>
      <c r="M496" s="11" t="str" cm="1">
        <f t="array" ref="M496">_xlfn.IFS(B496&lt;=25, "Young Adults", B496&lt;=35, "Emerging Professionals", B496&lt;=50, "Established Adults", TRUE, "Mature Customers")</f>
        <v>Emerging Professionals</v>
      </c>
      <c r="N496" s="11" t="str">
        <f>IF(Dataset[[#This Row],[Total_Spent (€)]]&lt;10,"Low Spender",IF(Dataset[[#This Row],[Total_Spent (€)]]&lt;25,"Medium Spender","High Spender"))</f>
        <v>Low Spender</v>
      </c>
    </row>
    <row r="497" spans="1:14" x14ac:dyDescent="0.2">
      <c r="A497" s="14" t="s">
        <v>18</v>
      </c>
      <c r="B497" s="11">
        <v>52</v>
      </c>
      <c r="C497" s="11" t="s">
        <v>17</v>
      </c>
      <c r="D497" s="11">
        <v>18.53</v>
      </c>
      <c r="E497" s="11" t="s">
        <v>16</v>
      </c>
      <c r="F497" s="11" t="s">
        <v>15</v>
      </c>
      <c r="G497" s="11">
        <v>1</v>
      </c>
      <c r="H497" s="11">
        <v>4.49</v>
      </c>
      <c r="I497" s="11" t="str">
        <f>TEXT(Dataset[[#This Row],[Purchase_Date]],"[$-409]mmmm")</f>
        <v>May</v>
      </c>
      <c r="J497" s="12">
        <f>MONTH(Dataset[[#This Row],[Purchase_Date]])</f>
        <v>5</v>
      </c>
      <c r="K497" s="13" t="str">
        <f>TEXT(Dataset[[#This Row],[Purchase_Date]],"mm - [$-409]mmmm")</f>
        <v>05 - May</v>
      </c>
      <c r="L497" s="11">
        <f>IF(Dataset[[#This Row],[Purchase_Date]]="","",YEAR(Dataset[[#This Row],[Purchase_Date]]))</f>
        <v>2025</v>
      </c>
      <c r="M497" s="11" t="str" cm="1">
        <f t="array" ref="M497">_xlfn.IFS(B497&lt;=25, "Young Adults", B497&lt;=35, "Emerging Professionals", B497&lt;=50, "Established Adults", TRUE, "Mature Customers")</f>
        <v>Mature Customers</v>
      </c>
      <c r="N497" s="11" t="str">
        <f>IF(Dataset[[#This Row],[Total_Spent (€)]]&lt;10,"Low Spender",IF(Dataset[[#This Row],[Total_Spent (€)]]&lt;25,"Medium Spender","High Spender"))</f>
        <v>Medium Spender</v>
      </c>
    </row>
    <row r="498" spans="1:14" x14ac:dyDescent="0.2">
      <c r="A498" s="14" t="s">
        <v>14</v>
      </c>
      <c r="B498" s="11">
        <v>38</v>
      </c>
      <c r="C498" s="11" t="s">
        <v>13</v>
      </c>
      <c r="D498" s="11">
        <v>27.74</v>
      </c>
      <c r="E498" s="11" t="s">
        <v>12</v>
      </c>
      <c r="F498" s="11" t="s">
        <v>11</v>
      </c>
      <c r="G498" s="11">
        <v>1</v>
      </c>
      <c r="H498" s="11">
        <v>8.73</v>
      </c>
      <c r="I498" s="11" t="str">
        <f>TEXT(Dataset[[#This Row],[Purchase_Date]],"[$-409]mmmm")</f>
        <v>November</v>
      </c>
      <c r="J498" s="12">
        <f>MONTH(Dataset[[#This Row],[Purchase_Date]])</f>
        <v>11</v>
      </c>
      <c r="K498" s="13" t="str">
        <f>TEXT(Dataset[[#This Row],[Purchase_Date]],"mm - [$-409]mmmm")</f>
        <v>11 - November</v>
      </c>
      <c r="L498" s="11">
        <f>IF(Dataset[[#This Row],[Purchase_Date]]="","",YEAR(Dataset[[#This Row],[Purchase_Date]]))</f>
        <v>2024</v>
      </c>
      <c r="M498" s="11" t="str" cm="1">
        <f t="array" ref="M498">_xlfn.IFS(B498&lt;=25, "Young Adults", B498&lt;=35, "Emerging Professionals", B498&lt;=50, "Established Adults", TRUE, "Mature Customers")</f>
        <v>Established Adults</v>
      </c>
      <c r="N498" s="11" t="str">
        <f>IF(Dataset[[#This Row],[Total_Spent (€)]]&lt;10,"Low Spender",IF(Dataset[[#This Row],[Total_Spent (€)]]&lt;25,"Medium Spender","High Spender"))</f>
        <v>High Spender</v>
      </c>
    </row>
    <row r="499" spans="1:14" x14ac:dyDescent="0.2">
      <c r="A499" s="14" t="s">
        <v>10</v>
      </c>
      <c r="B499" s="11">
        <v>47</v>
      </c>
      <c r="C499" s="11" t="s">
        <v>9</v>
      </c>
      <c r="D499" s="11">
        <v>35.43</v>
      </c>
      <c r="E499" s="11" t="s">
        <v>8</v>
      </c>
      <c r="F499" s="11" t="s">
        <v>7</v>
      </c>
      <c r="G499" s="11">
        <v>1</v>
      </c>
      <c r="H499" s="11">
        <v>7.4</v>
      </c>
      <c r="I499" s="11" t="str">
        <f>TEXT(Dataset[[#This Row],[Purchase_Date]],"[$-409]mmmm")</f>
        <v>April</v>
      </c>
      <c r="J499" s="12">
        <f>MONTH(Dataset[[#This Row],[Purchase_Date]])</f>
        <v>4</v>
      </c>
      <c r="K499" s="13" t="str">
        <f>TEXT(Dataset[[#This Row],[Purchase_Date]],"mm - [$-409]mmmm")</f>
        <v>04 - April</v>
      </c>
      <c r="L499" s="11">
        <f>IF(Dataset[[#This Row],[Purchase_Date]]="","",YEAR(Dataset[[#This Row],[Purchase_Date]]))</f>
        <v>2025</v>
      </c>
      <c r="M499" s="11" t="str" cm="1">
        <f t="array" ref="M499">_xlfn.IFS(B499&lt;=25, "Young Adults", B499&lt;=35, "Emerging Professionals", B499&lt;=50, "Established Adults", TRUE, "Mature Customers")</f>
        <v>Established Adults</v>
      </c>
      <c r="N499" s="11" t="str">
        <f>IF(Dataset[[#This Row],[Total_Spent (€)]]&lt;10,"Low Spender",IF(Dataset[[#This Row],[Total_Spent (€)]]&lt;25,"Medium Spender","High Spender"))</f>
        <v>High Spender</v>
      </c>
    </row>
    <row r="500" spans="1:14" x14ac:dyDescent="0.2">
      <c r="A500" s="14" t="s">
        <v>6</v>
      </c>
      <c r="B500" s="11">
        <v>39</v>
      </c>
      <c r="C500" s="11" t="s">
        <v>5</v>
      </c>
      <c r="D500" s="11">
        <v>23.1</v>
      </c>
      <c r="E500" s="11" t="s">
        <v>4</v>
      </c>
      <c r="F500" s="11" t="s">
        <v>3</v>
      </c>
      <c r="G500" s="11">
        <v>1</v>
      </c>
      <c r="H500" s="11">
        <v>8.89</v>
      </c>
      <c r="I500" s="11" t="str">
        <f>TEXT(Dataset[[#This Row],[Purchase_Date]],"[$-409]mmmm")</f>
        <v>April</v>
      </c>
      <c r="J500" s="12">
        <f>MONTH(Dataset[[#This Row],[Purchase_Date]])</f>
        <v>4</v>
      </c>
      <c r="K500" s="13" t="str">
        <f>TEXT(Dataset[[#This Row],[Purchase_Date]],"mm - [$-409]mmmm")</f>
        <v>04 - April</v>
      </c>
      <c r="L500" s="11">
        <f>IF(Dataset[[#This Row],[Purchase_Date]]="","",YEAR(Dataset[[#This Row],[Purchase_Date]]))</f>
        <v>2025</v>
      </c>
      <c r="M500" s="11" t="str" cm="1">
        <f t="array" ref="M500">_xlfn.IFS(B500&lt;=25, "Young Adults", B500&lt;=35, "Emerging Professionals", B500&lt;=50, "Established Adults", TRUE, "Mature Customers")</f>
        <v>Established Adults</v>
      </c>
      <c r="N500" s="11" t="str">
        <f>IF(Dataset[[#This Row],[Total_Spent (€)]]&lt;10,"Low Spender",IF(Dataset[[#This Row],[Total_Spent (€)]]&lt;25,"Medium Spender","High Spender"))</f>
        <v>Medium Spender</v>
      </c>
    </row>
    <row r="501" spans="1:14" x14ac:dyDescent="0.2">
      <c r="A501" s="14" t="s">
        <v>2</v>
      </c>
      <c r="B501" s="11">
        <v>48</v>
      </c>
      <c r="C501" s="11" t="s">
        <v>843</v>
      </c>
      <c r="D501" s="11">
        <v>12.54</v>
      </c>
      <c r="E501" s="11" t="s">
        <v>1</v>
      </c>
      <c r="F501" s="11" t="s">
        <v>0</v>
      </c>
      <c r="G501" s="11">
        <v>1</v>
      </c>
      <c r="H501" s="11">
        <v>8.26</v>
      </c>
      <c r="I501" s="11" t="str">
        <f>TEXT(Dataset[[#This Row],[Purchase_Date]],"[$-409]mmmm")</f>
        <v>October</v>
      </c>
      <c r="J501" s="12">
        <f>MONTH(Dataset[[#This Row],[Purchase_Date]])</f>
        <v>10</v>
      </c>
      <c r="K501" s="13" t="str">
        <f>TEXT(Dataset[[#This Row],[Purchase_Date]],"mm - [$-409]mmmm")</f>
        <v>10 - October</v>
      </c>
      <c r="L501" s="11">
        <f>IF(Dataset[[#This Row],[Purchase_Date]]="","",YEAR(Dataset[[#This Row],[Purchase_Date]]))</f>
        <v>2024</v>
      </c>
      <c r="M501" s="11" t="str" cm="1">
        <f t="array" ref="M501">_xlfn.IFS(B501&lt;=25, "Young Adults", B501&lt;=35, "Emerging Professionals", B501&lt;=50, "Established Adults", TRUE, "Mature Customers")</f>
        <v>Established Adults</v>
      </c>
      <c r="N501" s="11" t="str">
        <f>IF(Dataset[[#This Row],[Total_Spent (€)]]&lt;10,"Low Spender",IF(Dataset[[#This Row],[Total_Spent (€)]]&lt;25,"Medium Spender","High Spender"))</f>
        <v>Medium Spender</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A46609-B289-9C4A-A5E8-8C25E7B7A191}">
  <dimension ref="A2:T50"/>
  <sheetViews>
    <sheetView zoomScale="79" workbookViewId="0"/>
  </sheetViews>
  <sheetFormatPr baseColWidth="10" defaultRowHeight="16" x14ac:dyDescent="0.2"/>
  <cols>
    <col min="2" max="2" width="21" bestFit="1" customWidth="1"/>
    <col min="3" max="3" width="4.1640625" bestFit="1" customWidth="1"/>
    <col min="4" max="4" width="4.5" bestFit="1" customWidth="1"/>
    <col min="5" max="5" width="6" customWidth="1"/>
    <col min="6" max="6" width="7.1640625" bestFit="1" customWidth="1"/>
    <col min="7" max="7" width="16.83203125" bestFit="1" customWidth="1"/>
    <col min="10" max="10" width="20.1640625" bestFit="1" customWidth="1"/>
    <col min="11" max="11" width="14.83203125" bestFit="1" customWidth="1"/>
  </cols>
  <sheetData>
    <row r="2" spans="1:20" x14ac:dyDescent="0.2">
      <c r="A2" s="15"/>
      <c r="B2" s="15"/>
      <c r="C2" s="15"/>
      <c r="D2" s="15"/>
      <c r="E2" s="15"/>
      <c r="F2" s="15"/>
      <c r="G2" s="15"/>
      <c r="H2" s="15"/>
      <c r="I2" s="15"/>
      <c r="J2" s="15"/>
      <c r="K2" s="15"/>
      <c r="L2" s="15"/>
      <c r="M2" s="15"/>
      <c r="N2" s="15"/>
      <c r="O2" s="15"/>
      <c r="P2" s="15"/>
      <c r="Q2" s="15"/>
      <c r="R2" s="15"/>
      <c r="S2" s="15"/>
      <c r="T2" s="15"/>
    </row>
    <row r="3" spans="1:20" x14ac:dyDescent="0.2">
      <c r="A3" s="15"/>
      <c r="B3" s="15"/>
      <c r="C3" s="16" t="s">
        <v>853</v>
      </c>
      <c r="D3" s="16" t="s">
        <v>854</v>
      </c>
      <c r="E3" s="16" t="s">
        <v>856</v>
      </c>
      <c r="F3" s="16" t="s">
        <v>857</v>
      </c>
      <c r="G3" s="16" t="s">
        <v>858</v>
      </c>
      <c r="H3" s="15"/>
      <c r="I3" s="15"/>
      <c r="J3" s="46" t="s">
        <v>879</v>
      </c>
      <c r="K3" s="46"/>
      <c r="L3" s="15"/>
      <c r="M3" s="15"/>
      <c r="N3" s="15"/>
      <c r="O3" s="15"/>
      <c r="P3" s="15"/>
      <c r="Q3" s="15"/>
      <c r="R3" s="15"/>
      <c r="S3" s="15"/>
      <c r="T3" s="15"/>
    </row>
    <row r="4" spans="1:20" x14ac:dyDescent="0.2">
      <c r="A4" s="15"/>
      <c r="B4" s="18" t="s">
        <v>834</v>
      </c>
      <c r="C4" s="19">
        <f>MIN(Dataset[Age])</f>
        <v>18</v>
      </c>
      <c r="D4" s="19">
        <f>MAX(Dataset[Age])</f>
        <v>54</v>
      </c>
      <c r="E4" s="20">
        <f>AVERAGE(Dataset[Age])</f>
        <v>35.578000000000003</v>
      </c>
      <c r="F4" s="19">
        <f>MEDIAN(Dataset[Age])</f>
        <v>36</v>
      </c>
      <c r="G4" s="20">
        <f>STDEV(Dataset[Age])</f>
        <v>10.589059086844749</v>
      </c>
      <c r="H4" s="15"/>
      <c r="I4" s="15"/>
      <c r="J4" s="15" t="s">
        <v>866</v>
      </c>
      <c r="K4" s="21"/>
      <c r="L4" s="21"/>
      <c r="M4" s="21"/>
      <c r="N4" s="21"/>
      <c r="O4" s="21"/>
      <c r="P4" s="15"/>
      <c r="Q4" s="15"/>
      <c r="R4" s="15"/>
      <c r="S4" s="15"/>
      <c r="T4" s="15"/>
    </row>
    <row r="5" spans="1:20" x14ac:dyDescent="0.2">
      <c r="A5" s="15"/>
      <c r="B5" s="18" t="s">
        <v>837</v>
      </c>
      <c r="C5" s="19">
        <f>MIN(Dataset[Total_Spent (€)])</f>
        <v>8.0299999999999994</v>
      </c>
      <c r="D5" s="19">
        <f>MAX(Dataset[Total_Spent (€)])</f>
        <v>39.450000000000003</v>
      </c>
      <c r="E5" s="20">
        <f>AVERAGE(Dataset[Total_Spent (€)])</f>
        <v>19.982024291497972</v>
      </c>
      <c r="F5" s="19">
        <f>MEDIAN(Dataset[Total_Spent (€)])</f>
        <v>19.11</v>
      </c>
      <c r="G5" s="20">
        <f>STDEV(Dataset[Total_Spent (€)])</f>
        <v>7.9159606158035247</v>
      </c>
      <c r="H5" s="15"/>
      <c r="I5" s="15"/>
      <c r="J5" s="15" t="s">
        <v>867</v>
      </c>
      <c r="K5" s="21"/>
      <c r="L5" s="21"/>
      <c r="M5" s="21"/>
      <c r="N5" s="21"/>
      <c r="O5" s="21"/>
      <c r="P5" s="15"/>
      <c r="Q5" s="15"/>
      <c r="R5" s="15"/>
      <c r="S5" s="15"/>
      <c r="T5" s="15"/>
    </row>
    <row r="6" spans="1:20" x14ac:dyDescent="0.2">
      <c r="A6" s="15"/>
      <c r="B6" s="18" t="s">
        <v>855</v>
      </c>
      <c r="C6" s="19">
        <f>MIN(Dataset[Contact_Cost (€)])</f>
        <v>2.0099999999999998</v>
      </c>
      <c r="D6" s="19">
        <f>MAX(Dataset[Contact_Cost (€)])</f>
        <v>9.98</v>
      </c>
      <c r="E6" s="19">
        <f>AVERAGE(Dataset[Contact_Cost (€)])</f>
        <v>6.0856199999999996</v>
      </c>
      <c r="F6" s="19">
        <f>MEDIAN(Dataset[Contact_Cost (€)])</f>
        <v>6.0149999999999997</v>
      </c>
      <c r="G6" s="19">
        <f>STDEV(Dataset[Contact_Cost (€)])</f>
        <v>2.410659323161342</v>
      </c>
      <c r="H6" s="15"/>
      <c r="I6" s="15"/>
      <c r="J6" s="15" t="s">
        <v>868</v>
      </c>
      <c r="K6" s="21"/>
      <c r="L6" s="21"/>
      <c r="M6" s="21"/>
      <c r="N6" s="21"/>
      <c r="O6" s="21"/>
      <c r="P6" s="15"/>
      <c r="Q6" s="15"/>
      <c r="R6" s="15"/>
      <c r="S6" s="15"/>
      <c r="T6" s="15"/>
    </row>
    <row r="7" spans="1:20" x14ac:dyDescent="0.2">
      <c r="A7" s="15"/>
      <c r="B7" s="15"/>
      <c r="C7" s="15"/>
      <c r="D7" s="15"/>
      <c r="E7" s="15"/>
      <c r="F7" s="15"/>
      <c r="G7" s="15"/>
      <c r="H7" s="15"/>
      <c r="I7" s="15"/>
      <c r="J7" s="15"/>
      <c r="K7" s="15"/>
      <c r="L7" s="15"/>
      <c r="M7" s="15"/>
      <c r="N7" s="15"/>
      <c r="O7" s="15"/>
      <c r="P7" s="15"/>
      <c r="Q7" s="15"/>
      <c r="R7" s="15"/>
      <c r="S7" s="15"/>
      <c r="T7" s="15"/>
    </row>
    <row r="8" spans="1:20" x14ac:dyDescent="0.2">
      <c r="A8" s="15"/>
      <c r="B8" s="15"/>
      <c r="C8" s="15"/>
      <c r="D8" s="15"/>
      <c r="E8" s="15"/>
      <c r="F8" s="15"/>
      <c r="G8" s="15"/>
      <c r="H8" s="15"/>
      <c r="I8" s="15"/>
      <c r="J8" s="15"/>
      <c r="K8" s="15"/>
      <c r="L8" s="15"/>
      <c r="M8" s="15"/>
      <c r="N8" s="15"/>
      <c r="O8" s="15"/>
      <c r="P8" s="15"/>
      <c r="Q8" s="15"/>
      <c r="R8" s="15"/>
      <c r="S8" s="15"/>
      <c r="T8" s="15"/>
    </row>
    <row r="9" spans="1:20" x14ac:dyDescent="0.2">
      <c r="A9" s="15"/>
      <c r="B9" s="15"/>
      <c r="C9" s="15"/>
      <c r="D9" s="15"/>
      <c r="E9" s="15"/>
      <c r="F9" s="15"/>
      <c r="G9" s="15"/>
      <c r="H9" s="15"/>
      <c r="I9" s="15"/>
      <c r="J9" s="15"/>
      <c r="K9" s="15"/>
      <c r="L9" s="15"/>
      <c r="M9" s="15"/>
      <c r="N9" s="15"/>
      <c r="O9" s="15"/>
      <c r="P9" s="15"/>
      <c r="Q9" s="15"/>
      <c r="R9" s="15"/>
      <c r="S9" s="15"/>
      <c r="T9" s="15"/>
    </row>
    <row r="10" spans="1:20" x14ac:dyDescent="0.2">
      <c r="A10" s="15"/>
      <c r="B10" s="15"/>
      <c r="C10" s="45" t="s">
        <v>859</v>
      </c>
      <c r="D10" s="45"/>
      <c r="E10" s="45"/>
      <c r="F10" s="15"/>
      <c r="G10" s="15"/>
      <c r="H10" s="15"/>
      <c r="I10" s="15"/>
      <c r="J10" s="47" t="s">
        <v>878</v>
      </c>
      <c r="K10" s="48"/>
      <c r="L10" s="15"/>
      <c r="M10" s="15"/>
      <c r="N10" s="15"/>
      <c r="O10" s="15"/>
      <c r="P10" s="15"/>
      <c r="Q10" s="15"/>
      <c r="R10" s="15"/>
      <c r="S10" s="15"/>
      <c r="T10" s="15"/>
    </row>
    <row r="11" spans="1:20" x14ac:dyDescent="0.2">
      <c r="A11" s="15"/>
      <c r="B11" s="18" t="s">
        <v>860</v>
      </c>
      <c r="C11" s="44">
        <f>COUNTIF(Dataset[Age_Group],"=Young Adults")</f>
        <v>111</v>
      </c>
      <c r="D11" s="44"/>
      <c r="E11" s="44"/>
      <c r="F11" s="15"/>
      <c r="G11" s="15"/>
      <c r="H11" s="15"/>
      <c r="I11" s="15"/>
      <c r="J11" s="15" t="s">
        <v>874</v>
      </c>
      <c r="K11" s="15"/>
      <c r="L11" s="15"/>
      <c r="M11" s="15"/>
      <c r="N11" s="15"/>
      <c r="O11" s="15"/>
      <c r="P11" s="15"/>
      <c r="Q11" s="15"/>
      <c r="R11" s="15"/>
      <c r="S11" s="15"/>
      <c r="T11" s="15"/>
    </row>
    <row r="12" spans="1:20" x14ac:dyDescent="0.2">
      <c r="A12" s="15"/>
      <c r="B12" s="18" t="s">
        <v>861</v>
      </c>
      <c r="C12" s="44">
        <f>COUNTIF(Dataset[Age_Group],"=Emerging Professionals")</f>
        <v>134</v>
      </c>
      <c r="D12" s="44"/>
      <c r="E12" s="44"/>
      <c r="F12" s="15"/>
      <c r="G12" s="15"/>
      <c r="H12" s="15"/>
      <c r="I12" s="15"/>
      <c r="J12" s="15" t="s">
        <v>872</v>
      </c>
      <c r="K12" s="15"/>
      <c r="L12" s="15"/>
      <c r="M12" s="15"/>
      <c r="N12" s="15"/>
      <c r="O12" s="15"/>
      <c r="P12" s="15"/>
      <c r="Q12" s="15"/>
      <c r="R12" s="15"/>
      <c r="S12" s="15"/>
      <c r="T12" s="15"/>
    </row>
    <row r="13" spans="1:20" x14ac:dyDescent="0.2">
      <c r="A13" s="15"/>
      <c r="B13" s="18" t="s">
        <v>862</v>
      </c>
      <c r="C13" s="44">
        <f>COUNTIF(Dataset[Age_Group],"=Established Adults")</f>
        <v>211</v>
      </c>
      <c r="D13" s="44"/>
      <c r="E13" s="44"/>
      <c r="F13" s="15"/>
      <c r="G13" s="15"/>
      <c r="H13" s="15"/>
      <c r="I13" s="15"/>
      <c r="J13" s="15" t="s">
        <v>873</v>
      </c>
      <c r="K13" s="15"/>
      <c r="L13" s="15"/>
      <c r="M13" s="15"/>
      <c r="N13" s="15"/>
      <c r="O13" s="15"/>
      <c r="P13" s="15"/>
      <c r="Q13" s="15"/>
      <c r="R13" s="15"/>
      <c r="S13" s="15"/>
      <c r="T13" s="15"/>
    </row>
    <row r="14" spans="1:20" x14ac:dyDescent="0.2">
      <c r="A14" s="15"/>
      <c r="B14" s="18" t="s">
        <v>863</v>
      </c>
      <c r="C14" s="44">
        <f>COUNTIF(Dataset[Age_Group],"=Mature Customers")</f>
        <v>44</v>
      </c>
      <c r="D14" s="44"/>
      <c r="E14" s="44"/>
      <c r="F14" s="15"/>
      <c r="G14" s="15"/>
      <c r="H14" s="15"/>
      <c r="I14" s="15"/>
      <c r="J14" s="15"/>
      <c r="K14" s="15"/>
      <c r="L14" s="15"/>
      <c r="M14" s="15"/>
      <c r="N14" s="15"/>
      <c r="O14" s="15"/>
      <c r="P14" s="15"/>
      <c r="Q14" s="15"/>
      <c r="R14" s="15"/>
      <c r="S14" s="15"/>
      <c r="T14" s="15"/>
    </row>
    <row r="15" spans="1:20" x14ac:dyDescent="0.2">
      <c r="A15" s="15"/>
      <c r="B15" s="15"/>
      <c r="C15" s="15"/>
      <c r="D15" s="15"/>
      <c r="E15" s="22"/>
      <c r="F15" s="15"/>
      <c r="G15" s="15"/>
      <c r="H15" s="15"/>
      <c r="I15" s="15"/>
      <c r="J15" s="15"/>
      <c r="K15" s="15"/>
      <c r="L15" s="15"/>
      <c r="M15" s="15"/>
      <c r="N15" s="15"/>
      <c r="O15" s="15"/>
      <c r="P15" s="15"/>
      <c r="Q15" s="15"/>
      <c r="R15" s="15"/>
      <c r="S15" s="15"/>
      <c r="T15" s="15"/>
    </row>
    <row r="16" spans="1:20" x14ac:dyDescent="0.2">
      <c r="A16" s="15"/>
      <c r="B16" s="15"/>
      <c r="C16" s="15"/>
      <c r="D16" s="15"/>
      <c r="E16" s="15"/>
      <c r="F16" s="15"/>
      <c r="G16" s="15"/>
      <c r="H16" s="15"/>
      <c r="I16" s="15"/>
      <c r="J16" s="15"/>
      <c r="K16" s="15"/>
      <c r="L16" s="15"/>
      <c r="M16" s="15"/>
      <c r="N16" s="15"/>
      <c r="O16" s="15"/>
      <c r="P16" s="15"/>
      <c r="Q16" s="15"/>
      <c r="R16" s="15"/>
      <c r="S16" s="15"/>
      <c r="T16" s="15"/>
    </row>
    <row r="17" spans="1:20" x14ac:dyDescent="0.2">
      <c r="A17" s="15"/>
      <c r="B17" s="15"/>
      <c r="C17" s="15"/>
      <c r="D17" s="15"/>
      <c r="E17" s="15"/>
      <c r="F17" s="15"/>
      <c r="G17" s="15"/>
      <c r="H17" s="15"/>
      <c r="I17" s="15"/>
      <c r="J17" s="15"/>
      <c r="K17" s="15"/>
      <c r="L17" s="15"/>
      <c r="M17" s="15"/>
      <c r="N17" s="15"/>
      <c r="O17" s="15"/>
      <c r="P17" s="15"/>
      <c r="Q17" s="15"/>
      <c r="R17" s="15"/>
      <c r="S17" s="15"/>
      <c r="T17" s="15"/>
    </row>
    <row r="18" spans="1:20" x14ac:dyDescent="0.2">
      <c r="A18" s="15"/>
      <c r="B18" s="15"/>
      <c r="C18" s="45" t="s">
        <v>859</v>
      </c>
      <c r="D18" s="45"/>
      <c r="E18" s="45"/>
      <c r="F18" s="15"/>
      <c r="G18" s="15"/>
      <c r="H18" s="15"/>
      <c r="I18" s="15"/>
      <c r="J18" s="46" t="s">
        <v>877</v>
      </c>
      <c r="K18" s="46"/>
      <c r="L18" s="15"/>
      <c r="M18" s="15"/>
      <c r="N18" s="15"/>
      <c r="O18" s="15"/>
      <c r="P18" s="15"/>
      <c r="Q18" s="15"/>
      <c r="R18" s="15"/>
      <c r="S18" s="15"/>
      <c r="T18" s="15"/>
    </row>
    <row r="19" spans="1:20" x14ac:dyDescent="0.2">
      <c r="A19" s="15"/>
      <c r="B19" s="18" t="s">
        <v>86</v>
      </c>
      <c r="C19" s="44">
        <f>COUNTIF(Dataset[Region], B19)</f>
        <v>28</v>
      </c>
      <c r="D19" s="44"/>
      <c r="E19" s="44"/>
      <c r="F19" s="15"/>
      <c r="G19" s="15"/>
      <c r="H19" s="15"/>
      <c r="I19" s="15"/>
      <c r="J19" s="15" t="s">
        <v>869</v>
      </c>
      <c r="K19" s="15"/>
      <c r="L19" s="15"/>
      <c r="M19" s="15"/>
      <c r="N19" s="15"/>
      <c r="O19" s="15"/>
      <c r="P19" s="15"/>
      <c r="Q19" s="15"/>
      <c r="R19" s="15"/>
      <c r="S19" s="15"/>
      <c r="T19" s="15"/>
    </row>
    <row r="20" spans="1:20" x14ac:dyDescent="0.2">
      <c r="A20" s="15"/>
      <c r="B20" s="18" t="s">
        <v>847</v>
      </c>
      <c r="C20" s="44">
        <f>COUNTIF(Dataset[Region], B20)</f>
        <v>31</v>
      </c>
      <c r="D20" s="44"/>
      <c r="E20" s="44"/>
      <c r="F20" s="15"/>
      <c r="G20" s="15"/>
      <c r="H20" s="15"/>
      <c r="I20" s="15"/>
      <c r="J20" s="15" t="s">
        <v>870</v>
      </c>
      <c r="K20" s="15"/>
      <c r="L20" s="15"/>
      <c r="M20" s="15"/>
      <c r="N20" s="15"/>
      <c r="O20" s="15"/>
      <c r="P20" s="15"/>
      <c r="Q20" s="15"/>
      <c r="R20" s="15"/>
      <c r="S20" s="15"/>
      <c r="T20" s="15"/>
    </row>
    <row r="21" spans="1:20" x14ac:dyDescent="0.2">
      <c r="A21" s="15"/>
      <c r="B21" s="18" t="s">
        <v>842</v>
      </c>
      <c r="C21" s="44">
        <f>COUNTIF(Dataset[Region], B21)</f>
        <v>29</v>
      </c>
      <c r="D21" s="44"/>
      <c r="E21" s="44"/>
      <c r="F21" s="15"/>
      <c r="G21" s="23"/>
      <c r="H21" s="23"/>
      <c r="I21" s="15"/>
      <c r="J21" s="15" t="s">
        <v>871</v>
      </c>
      <c r="K21" s="15"/>
      <c r="L21" s="15"/>
      <c r="M21" s="15"/>
      <c r="N21" s="15"/>
      <c r="O21" s="15"/>
      <c r="P21" s="15"/>
      <c r="Q21" s="15"/>
      <c r="R21" s="15"/>
      <c r="S21" s="15"/>
      <c r="T21" s="15"/>
    </row>
    <row r="22" spans="1:20" x14ac:dyDescent="0.2">
      <c r="A22" s="15"/>
      <c r="B22" s="18" t="s">
        <v>17</v>
      </c>
      <c r="C22" s="44">
        <f>COUNTIF(Dataset[Region], B22)</f>
        <v>24</v>
      </c>
      <c r="D22" s="44"/>
      <c r="E22" s="44"/>
      <c r="F22" s="15"/>
      <c r="G22" s="15"/>
      <c r="H22" s="15"/>
      <c r="I22" s="15"/>
      <c r="J22" s="15"/>
      <c r="K22" s="15"/>
      <c r="L22" s="15"/>
      <c r="M22" s="15"/>
      <c r="N22" s="15"/>
      <c r="O22" s="15"/>
      <c r="P22" s="15"/>
      <c r="Q22" s="15"/>
      <c r="R22" s="15"/>
      <c r="S22" s="15"/>
      <c r="T22" s="15"/>
    </row>
    <row r="23" spans="1:20" x14ac:dyDescent="0.2">
      <c r="A23" s="15"/>
      <c r="B23" s="18" t="s">
        <v>61</v>
      </c>
      <c r="C23" s="44">
        <f>COUNTIF(Dataset[Region], B23)</f>
        <v>32</v>
      </c>
      <c r="D23" s="44"/>
      <c r="E23" s="44"/>
      <c r="F23" s="15"/>
      <c r="G23" s="15"/>
      <c r="H23" s="15"/>
      <c r="I23" s="15"/>
      <c r="J23" s="15"/>
      <c r="K23" s="15"/>
      <c r="L23" s="15"/>
      <c r="M23" s="15"/>
      <c r="N23" s="15"/>
      <c r="O23" s="15"/>
      <c r="P23" s="15"/>
      <c r="Q23" s="15"/>
      <c r="R23" s="15"/>
      <c r="S23" s="15"/>
      <c r="T23" s="15"/>
    </row>
    <row r="24" spans="1:20" x14ac:dyDescent="0.2">
      <c r="A24" s="15"/>
      <c r="B24" s="18" t="s">
        <v>75</v>
      </c>
      <c r="C24" s="44">
        <f>COUNTIF(Dataset[Region], B24)</f>
        <v>25</v>
      </c>
      <c r="D24" s="44"/>
      <c r="E24" s="44"/>
      <c r="F24" s="15"/>
      <c r="G24" s="15"/>
      <c r="H24" s="15"/>
      <c r="I24" s="15"/>
      <c r="J24" s="15"/>
      <c r="K24" s="15"/>
      <c r="L24" s="15"/>
      <c r="M24" s="15"/>
      <c r="N24" s="15"/>
      <c r="O24" s="15"/>
      <c r="P24" s="15"/>
      <c r="Q24" s="15"/>
      <c r="R24" s="15"/>
      <c r="S24" s="15"/>
      <c r="T24" s="15"/>
    </row>
    <row r="25" spans="1:20" x14ac:dyDescent="0.2">
      <c r="A25" s="15"/>
      <c r="B25" s="18" t="s">
        <v>9</v>
      </c>
      <c r="C25" s="44">
        <f>COUNTIF(Dataset[Region], B25)</f>
        <v>27</v>
      </c>
      <c r="D25" s="44"/>
      <c r="E25" s="44"/>
      <c r="F25" s="15"/>
      <c r="G25" s="15"/>
      <c r="H25" s="15"/>
      <c r="I25" s="15"/>
      <c r="J25" s="15"/>
      <c r="K25" s="15"/>
      <c r="L25" s="15"/>
      <c r="M25" s="15"/>
      <c r="N25" s="15"/>
      <c r="O25" s="15"/>
      <c r="P25" s="15"/>
      <c r="Q25" s="15"/>
      <c r="R25" s="15"/>
      <c r="S25" s="15"/>
      <c r="T25" s="15"/>
    </row>
    <row r="26" spans="1:20" x14ac:dyDescent="0.2">
      <c r="A26" s="15"/>
      <c r="B26" s="18" t="s">
        <v>13</v>
      </c>
      <c r="C26" s="44">
        <f>COUNTIF(Dataset[Region], B26)</f>
        <v>17</v>
      </c>
      <c r="D26" s="44"/>
      <c r="E26" s="44"/>
      <c r="F26" s="15"/>
      <c r="G26" s="15"/>
      <c r="H26" s="15"/>
      <c r="I26" s="15"/>
      <c r="J26" s="15"/>
      <c r="K26" s="15"/>
      <c r="L26" s="15"/>
      <c r="M26" s="15"/>
      <c r="N26" s="15"/>
      <c r="O26" s="15"/>
      <c r="P26" s="15"/>
      <c r="Q26" s="15"/>
      <c r="R26" s="15"/>
      <c r="S26" s="15"/>
      <c r="T26" s="15"/>
    </row>
    <row r="27" spans="1:20" x14ac:dyDescent="0.2">
      <c r="A27" s="15"/>
      <c r="B27" s="18" t="s">
        <v>20</v>
      </c>
      <c r="C27" s="44">
        <f>COUNTIF(Dataset[Region], B27)</f>
        <v>33</v>
      </c>
      <c r="D27" s="44"/>
      <c r="E27" s="44"/>
      <c r="F27" s="15"/>
      <c r="G27" s="15"/>
      <c r="H27" s="15"/>
      <c r="I27" s="15"/>
      <c r="J27" s="15"/>
      <c r="K27" s="15"/>
      <c r="L27" s="15"/>
      <c r="M27" s="15"/>
      <c r="N27" s="15"/>
      <c r="O27" s="15"/>
      <c r="P27" s="15"/>
      <c r="Q27" s="15"/>
      <c r="R27" s="15"/>
      <c r="S27" s="15"/>
      <c r="T27" s="15"/>
    </row>
    <row r="28" spans="1:20" x14ac:dyDescent="0.2">
      <c r="A28" s="15"/>
      <c r="B28" s="18" t="s">
        <v>152</v>
      </c>
      <c r="C28" s="44">
        <f>COUNTIF(Dataset[Region], B28)</f>
        <v>15</v>
      </c>
      <c r="D28" s="44"/>
      <c r="E28" s="44"/>
      <c r="F28" s="15"/>
      <c r="G28" s="15"/>
      <c r="H28" s="15"/>
      <c r="I28" s="15"/>
      <c r="J28" s="15"/>
      <c r="K28" s="15"/>
      <c r="L28" s="15"/>
      <c r="M28" s="15"/>
      <c r="N28" s="15"/>
      <c r="O28" s="15"/>
      <c r="P28" s="15"/>
      <c r="Q28" s="15"/>
      <c r="R28" s="15"/>
      <c r="S28" s="15"/>
      <c r="T28" s="15"/>
    </row>
    <row r="29" spans="1:20" x14ac:dyDescent="0.2">
      <c r="A29" s="15"/>
      <c r="B29" s="18" t="s">
        <v>840</v>
      </c>
      <c r="C29" s="44">
        <f>COUNTIF(Dataset[Region], B29)</f>
        <v>28</v>
      </c>
      <c r="D29" s="44"/>
      <c r="E29" s="44"/>
      <c r="F29" s="15"/>
      <c r="G29" s="15"/>
      <c r="H29" s="15"/>
      <c r="I29" s="15"/>
      <c r="J29" s="15"/>
      <c r="K29" s="15"/>
      <c r="L29" s="15"/>
      <c r="M29" s="15"/>
      <c r="N29" s="15"/>
      <c r="O29" s="15"/>
      <c r="P29" s="15"/>
      <c r="Q29" s="15"/>
      <c r="R29" s="15"/>
      <c r="S29" s="15"/>
      <c r="T29" s="15"/>
    </row>
    <row r="30" spans="1:20" x14ac:dyDescent="0.2">
      <c r="A30" s="15"/>
      <c r="B30" s="18" t="s">
        <v>43</v>
      </c>
      <c r="C30" s="44">
        <f>COUNTIF(Dataset[Region], B30)</f>
        <v>19</v>
      </c>
      <c r="D30" s="44"/>
      <c r="E30" s="44"/>
      <c r="F30" s="15"/>
      <c r="G30" s="15"/>
      <c r="H30" s="15"/>
      <c r="I30" s="15"/>
      <c r="J30" s="15"/>
      <c r="K30" s="15"/>
      <c r="L30" s="15"/>
      <c r="M30" s="15"/>
      <c r="N30" s="15"/>
      <c r="O30" s="15"/>
      <c r="P30" s="15"/>
      <c r="Q30" s="15"/>
      <c r="R30" s="15"/>
      <c r="S30" s="15"/>
      <c r="T30" s="15"/>
    </row>
    <row r="31" spans="1:20" x14ac:dyDescent="0.2">
      <c r="A31" s="15"/>
      <c r="B31" s="18" t="s">
        <v>38</v>
      </c>
      <c r="C31" s="44">
        <f>COUNTIF(Dataset[Region], B31)</f>
        <v>33</v>
      </c>
      <c r="D31" s="44"/>
      <c r="E31" s="44"/>
      <c r="F31" s="15"/>
      <c r="G31" s="15"/>
      <c r="H31" s="15"/>
      <c r="I31" s="15"/>
      <c r="J31" s="15"/>
      <c r="K31" s="15"/>
      <c r="L31" s="15"/>
      <c r="M31" s="15"/>
      <c r="N31" s="15"/>
      <c r="O31" s="15"/>
      <c r="P31" s="15"/>
      <c r="Q31" s="15"/>
      <c r="R31" s="15"/>
      <c r="S31" s="15"/>
      <c r="T31" s="15"/>
    </row>
    <row r="32" spans="1:20" x14ac:dyDescent="0.2">
      <c r="A32" s="15"/>
      <c r="B32" s="18" t="s">
        <v>841</v>
      </c>
      <c r="C32" s="44">
        <f>COUNTIF(Dataset[Region], B32)</f>
        <v>25</v>
      </c>
      <c r="D32" s="44"/>
      <c r="E32" s="44"/>
      <c r="F32" s="15"/>
      <c r="G32" s="15"/>
      <c r="H32" s="15"/>
      <c r="I32" s="15"/>
      <c r="J32" s="15"/>
      <c r="K32" s="15"/>
      <c r="L32" s="15"/>
      <c r="M32" s="15"/>
      <c r="N32" s="15"/>
      <c r="O32" s="15"/>
      <c r="P32" s="15"/>
      <c r="Q32" s="15"/>
      <c r="R32" s="15"/>
      <c r="S32" s="15"/>
      <c r="T32" s="15"/>
    </row>
    <row r="33" spans="1:20" x14ac:dyDescent="0.2">
      <c r="A33" s="15"/>
      <c r="B33" s="18" t="s">
        <v>843</v>
      </c>
      <c r="C33" s="44">
        <f>COUNTIF(Dataset[Region], B33)</f>
        <v>20</v>
      </c>
      <c r="D33" s="44"/>
      <c r="E33" s="44"/>
      <c r="F33" s="15"/>
      <c r="G33" s="15"/>
      <c r="H33" s="15"/>
      <c r="I33" s="15"/>
      <c r="J33" s="15"/>
      <c r="K33" s="15"/>
      <c r="L33" s="15"/>
      <c r="M33" s="15"/>
      <c r="N33" s="15"/>
      <c r="O33" s="15"/>
      <c r="P33" s="15"/>
      <c r="Q33" s="15"/>
      <c r="R33" s="15"/>
      <c r="S33" s="15"/>
      <c r="T33" s="15"/>
    </row>
    <row r="34" spans="1:20" x14ac:dyDescent="0.2">
      <c r="A34" s="15"/>
      <c r="B34" s="18" t="s">
        <v>844</v>
      </c>
      <c r="C34" s="44">
        <f>COUNTIF(Dataset[Region], B34)</f>
        <v>29</v>
      </c>
      <c r="D34" s="44"/>
      <c r="E34" s="44"/>
      <c r="F34" s="15"/>
      <c r="G34" s="15"/>
      <c r="H34" s="15"/>
      <c r="I34" s="15"/>
      <c r="J34" s="15"/>
      <c r="K34" s="15"/>
      <c r="L34" s="15"/>
      <c r="M34" s="15"/>
      <c r="N34" s="15"/>
      <c r="O34" s="15"/>
      <c r="P34" s="15"/>
      <c r="Q34" s="15"/>
      <c r="R34" s="15"/>
      <c r="S34" s="15"/>
      <c r="T34" s="15"/>
    </row>
    <row r="35" spans="1:20" x14ac:dyDescent="0.2">
      <c r="A35" s="15"/>
      <c r="B35" s="18" t="s">
        <v>846</v>
      </c>
      <c r="C35" s="44">
        <f>COUNTIF(Dataset[Region], B35)</f>
        <v>22</v>
      </c>
      <c r="D35" s="44"/>
      <c r="E35" s="44"/>
      <c r="F35" s="15"/>
      <c r="G35" s="15"/>
      <c r="H35" s="15"/>
      <c r="I35" s="15"/>
      <c r="J35" s="15"/>
      <c r="K35" s="15"/>
      <c r="L35" s="15"/>
      <c r="M35" s="15"/>
      <c r="N35" s="15"/>
      <c r="O35" s="15"/>
      <c r="P35" s="15"/>
      <c r="Q35" s="15"/>
      <c r="R35" s="15"/>
      <c r="S35" s="15"/>
      <c r="T35" s="15"/>
    </row>
    <row r="36" spans="1:20" x14ac:dyDescent="0.2">
      <c r="A36" s="15"/>
      <c r="B36" s="18" t="s">
        <v>845</v>
      </c>
      <c r="C36" s="44">
        <f>COUNTIF(Dataset[Region], B36)</f>
        <v>21</v>
      </c>
      <c r="D36" s="44"/>
      <c r="E36" s="44"/>
      <c r="F36" s="15"/>
      <c r="G36" s="15"/>
      <c r="H36" s="15"/>
      <c r="I36" s="15"/>
      <c r="J36" s="15"/>
      <c r="K36" s="15"/>
      <c r="L36" s="15"/>
      <c r="M36" s="15"/>
      <c r="N36" s="15"/>
      <c r="O36" s="15"/>
      <c r="P36" s="15"/>
      <c r="Q36" s="15"/>
      <c r="R36" s="15"/>
      <c r="S36" s="15"/>
      <c r="T36" s="15"/>
    </row>
    <row r="37" spans="1:20" x14ac:dyDescent="0.2">
      <c r="A37" s="15"/>
      <c r="B37" s="18" t="s">
        <v>5</v>
      </c>
      <c r="C37" s="44">
        <f>COUNTIF(Dataset[Region], B37)</f>
        <v>22</v>
      </c>
      <c r="D37" s="44"/>
      <c r="E37" s="44"/>
      <c r="F37" s="15"/>
      <c r="G37" s="15"/>
      <c r="H37" s="15"/>
      <c r="I37" s="15"/>
      <c r="J37" s="15"/>
      <c r="K37" s="15"/>
      <c r="L37" s="15"/>
      <c r="M37" s="15"/>
      <c r="N37" s="15"/>
      <c r="O37" s="15"/>
      <c r="P37" s="15"/>
      <c r="Q37" s="15"/>
      <c r="R37" s="15"/>
      <c r="S37" s="15"/>
      <c r="T37" s="15"/>
    </row>
    <row r="38" spans="1:20" x14ac:dyDescent="0.2">
      <c r="A38" s="15"/>
      <c r="B38" s="18" t="s">
        <v>30</v>
      </c>
      <c r="C38" s="44">
        <f>COUNTIF(Dataset[Region], B38)</f>
        <v>20</v>
      </c>
      <c r="D38" s="44"/>
      <c r="E38" s="44"/>
      <c r="F38" s="15"/>
      <c r="G38" s="15"/>
      <c r="H38" s="15"/>
      <c r="I38" s="15"/>
      <c r="J38" s="15"/>
      <c r="K38" s="15"/>
      <c r="L38" s="15"/>
      <c r="M38" s="15"/>
      <c r="N38" s="15"/>
      <c r="O38" s="15"/>
      <c r="P38" s="15"/>
      <c r="Q38" s="15"/>
      <c r="R38" s="15"/>
      <c r="S38" s="15"/>
      <c r="T38" s="15"/>
    </row>
    <row r="39" spans="1:20" x14ac:dyDescent="0.2">
      <c r="A39" s="15"/>
      <c r="B39" s="15"/>
      <c r="C39" s="15"/>
      <c r="D39" s="15"/>
      <c r="E39" s="15"/>
      <c r="F39" s="15"/>
      <c r="G39" s="15"/>
      <c r="H39" s="15"/>
      <c r="I39" s="15"/>
      <c r="J39" s="15"/>
      <c r="K39" s="15"/>
      <c r="L39" s="15"/>
      <c r="M39" s="15"/>
      <c r="N39" s="15"/>
      <c r="O39" s="15"/>
      <c r="P39" s="15"/>
      <c r="Q39" s="15"/>
      <c r="R39" s="15"/>
      <c r="S39" s="15"/>
      <c r="T39" s="15"/>
    </row>
    <row r="40" spans="1:20" x14ac:dyDescent="0.2">
      <c r="A40" s="15"/>
      <c r="B40" s="15"/>
      <c r="C40" s="15"/>
      <c r="D40" s="15"/>
      <c r="E40" s="15"/>
      <c r="F40" s="15"/>
      <c r="G40" s="15"/>
      <c r="H40" s="15"/>
      <c r="I40" s="15"/>
      <c r="J40" s="15"/>
      <c r="K40" s="15"/>
      <c r="L40" s="15"/>
      <c r="M40" s="15"/>
      <c r="N40" s="15"/>
      <c r="O40" s="15"/>
      <c r="P40" s="15"/>
      <c r="Q40" s="15"/>
      <c r="R40" s="15"/>
      <c r="S40" s="15"/>
      <c r="T40" s="15"/>
    </row>
    <row r="41" spans="1:20" x14ac:dyDescent="0.2">
      <c r="A41" s="15"/>
      <c r="B41" s="15"/>
      <c r="C41" s="15"/>
      <c r="D41" s="15"/>
      <c r="E41" s="15"/>
      <c r="F41" s="15"/>
      <c r="G41" s="15"/>
      <c r="H41" s="15"/>
      <c r="I41" s="15"/>
      <c r="J41" s="15"/>
      <c r="K41" s="15"/>
      <c r="L41" s="15"/>
      <c r="M41" s="15"/>
      <c r="N41" s="15"/>
      <c r="O41" s="15"/>
      <c r="P41" s="15"/>
      <c r="Q41" s="15"/>
      <c r="R41" s="15"/>
      <c r="S41" s="15"/>
      <c r="T41" s="15"/>
    </row>
    <row r="42" spans="1:20" x14ac:dyDescent="0.2">
      <c r="A42" s="15"/>
      <c r="B42" s="15"/>
      <c r="C42" s="16" t="s">
        <v>859</v>
      </c>
      <c r="D42" s="16"/>
      <c r="E42" s="16"/>
      <c r="F42" s="15"/>
      <c r="G42" s="15"/>
      <c r="H42" s="15"/>
      <c r="I42" s="15"/>
      <c r="J42" s="46" t="s">
        <v>876</v>
      </c>
      <c r="K42" s="46"/>
      <c r="L42" s="15"/>
      <c r="M42" s="15"/>
      <c r="N42" s="15"/>
      <c r="O42" s="15"/>
      <c r="P42" s="15"/>
      <c r="Q42" s="15"/>
      <c r="R42" s="15"/>
      <c r="S42" s="15"/>
      <c r="T42" s="15"/>
    </row>
    <row r="43" spans="1:20" x14ac:dyDescent="0.2">
      <c r="A43" s="15"/>
      <c r="B43" s="18" t="s">
        <v>864</v>
      </c>
      <c r="C43" s="44">
        <f>COUNTIF(Dataset[Purchase_Flag],1)</f>
        <v>247</v>
      </c>
      <c r="D43" s="44"/>
      <c r="E43" s="44"/>
      <c r="F43" s="15"/>
      <c r="G43" s="15"/>
      <c r="H43" s="15"/>
      <c r="I43" s="15"/>
      <c r="J43" s="15" t="s">
        <v>880</v>
      </c>
      <c r="K43" s="15"/>
      <c r="L43" s="15"/>
      <c r="M43" s="15"/>
      <c r="N43" s="15"/>
      <c r="O43" s="15"/>
      <c r="P43" s="15"/>
      <c r="Q43" s="15"/>
      <c r="R43" s="15"/>
      <c r="S43" s="15"/>
      <c r="T43" s="15"/>
    </row>
    <row r="44" spans="1:20" x14ac:dyDescent="0.2">
      <c r="A44" s="15"/>
      <c r="B44" s="18" t="s">
        <v>865</v>
      </c>
      <c r="C44" s="44">
        <f>COUNTIF(Dataset[Purchase_Flag],0)</f>
        <v>253</v>
      </c>
      <c r="D44" s="44"/>
      <c r="E44" s="44"/>
      <c r="F44" s="15"/>
      <c r="G44" s="15"/>
      <c r="H44" s="15"/>
      <c r="I44" s="15"/>
      <c r="J44" s="15" t="s">
        <v>875</v>
      </c>
      <c r="K44" s="15"/>
      <c r="L44" s="15"/>
      <c r="M44" s="15"/>
      <c r="N44" s="15"/>
      <c r="O44" s="15"/>
      <c r="P44" s="15"/>
      <c r="Q44" s="15"/>
      <c r="R44" s="15"/>
      <c r="S44" s="15"/>
      <c r="T44" s="15"/>
    </row>
    <row r="45" spans="1:20" x14ac:dyDescent="0.2">
      <c r="A45" s="15"/>
      <c r="B45" s="15"/>
      <c r="C45" s="15"/>
      <c r="D45" s="15"/>
      <c r="E45" s="15"/>
      <c r="F45" s="15"/>
      <c r="G45" s="15"/>
      <c r="H45" s="15"/>
      <c r="I45" s="15"/>
      <c r="J45" s="15"/>
      <c r="K45" s="15"/>
      <c r="L45" s="15"/>
      <c r="M45" s="15"/>
      <c r="N45" s="15"/>
      <c r="O45" s="15"/>
      <c r="P45" s="15"/>
      <c r="Q45" s="15"/>
      <c r="R45" s="15"/>
      <c r="S45" s="15"/>
      <c r="T45" s="15"/>
    </row>
    <row r="46" spans="1:20" x14ac:dyDescent="0.2">
      <c r="A46" s="15"/>
      <c r="B46" s="15"/>
      <c r="C46" s="15"/>
      <c r="D46" s="15"/>
      <c r="E46" s="15"/>
      <c r="F46" s="15"/>
      <c r="G46" s="15"/>
      <c r="H46" s="15"/>
      <c r="I46" s="15"/>
      <c r="J46" s="15"/>
      <c r="K46" s="15"/>
      <c r="L46" s="15"/>
      <c r="M46" s="15"/>
      <c r="N46" s="15"/>
      <c r="O46" s="15"/>
      <c r="P46" s="15"/>
      <c r="Q46" s="15"/>
      <c r="R46" s="15"/>
      <c r="S46" s="15"/>
      <c r="T46" s="15"/>
    </row>
    <row r="47" spans="1:20" x14ac:dyDescent="0.2">
      <c r="A47" s="15"/>
      <c r="B47" s="15"/>
      <c r="C47" s="15"/>
      <c r="D47" s="15"/>
      <c r="E47" s="15"/>
      <c r="F47" s="15"/>
      <c r="G47" s="15"/>
      <c r="H47" s="15"/>
      <c r="I47" s="15"/>
      <c r="J47" s="15"/>
      <c r="K47" s="15"/>
      <c r="L47" s="15"/>
      <c r="M47" s="15"/>
      <c r="N47" s="15"/>
      <c r="O47" s="15"/>
      <c r="P47" s="15"/>
      <c r="Q47" s="15"/>
      <c r="R47" s="15"/>
      <c r="S47" s="15"/>
      <c r="T47" s="15"/>
    </row>
    <row r="48" spans="1:20" x14ac:dyDescent="0.2">
      <c r="A48" s="15"/>
      <c r="B48" s="15"/>
      <c r="C48" s="15"/>
      <c r="D48" s="15"/>
      <c r="E48" s="15"/>
      <c r="F48" s="15"/>
      <c r="G48" s="15"/>
      <c r="H48" s="15"/>
      <c r="I48" s="15"/>
      <c r="J48" s="15"/>
      <c r="K48" s="15"/>
      <c r="L48" s="15"/>
      <c r="M48" s="15"/>
      <c r="N48" s="15"/>
      <c r="O48" s="15"/>
      <c r="P48" s="15"/>
      <c r="Q48" s="15"/>
      <c r="R48" s="15"/>
      <c r="S48" s="15"/>
      <c r="T48" s="15"/>
    </row>
    <row r="49" spans="1:20" x14ac:dyDescent="0.2">
      <c r="A49" s="15"/>
      <c r="B49" s="15"/>
      <c r="C49" s="15"/>
      <c r="D49" s="15"/>
      <c r="E49" s="15"/>
      <c r="F49" s="15"/>
      <c r="G49" s="15"/>
      <c r="H49" s="15"/>
      <c r="I49" s="15"/>
      <c r="J49" s="15"/>
      <c r="K49" s="15"/>
      <c r="L49" s="15"/>
      <c r="M49" s="15"/>
      <c r="N49" s="15"/>
      <c r="O49" s="15"/>
      <c r="P49" s="15"/>
      <c r="Q49" s="15"/>
      <c r="R49" s="15"/>
      <c r="S49" s="15"/>
      <c r="T49" s="15"/>
    </row>
    <row r="50" spans="1:20" x14ac:dyDescent="0.2">
      <c r="A50" s="15"/>
      <c r="B50" s="15"/>
      <c r="C50" s="15"/>
      <c r="D50" s="15"/>
      <c r="E50" s="15"/>
      <c r="F50" s="15"/>
      <c r="G50" s="15"/>
      <c r="H50" s="15"/>
      <c r="I50" s="15"/>
      <c r="J50" s="15"/>
      <c r="K50" s="15"/>
      <c r="L50" s="15"/>
      <c r="M50" s="15"/>
      <c r="N50" s="15"/>
      <c r="O50" s="15"/>
      <c r="P50" s="15"/>
      <c r="Q50" s="15"/>
      <c r="R50" s="15"/>
      <c r="S50" s="15"/>
      <c r="T50" s="15"/>
    </row>
  </sheetData>
  <sortState xmlns:xlrd2="http://schemas.microsoft.com/office/spreadsheetml/2017/richdata2" ref="B19:B38">
    <sortCondition ref="B19:B38"/>
  </sortState>
  <mergeCells count="32">
    <mergeCell ref="J3:K3"/>
    <mergeCell ref="J42:K42"/>
    <mergeCell ref="C10:E10"/>
    <mergeCell ref="J18:K18"/>
    <mergeCell ref="J10:K10"/>
    <mergeCell ref="C38:E38"/>
    <mergeCell ref="C28:E28"/>
    <mergeCell ref="C29:E29"/>
    <mergeCell ref="C30:E30"/>
    <mergeCell ref="C31:E31"/>
    <mergeCell ref="C32:E32"/>
    <mergeCell ref="C23:E23"/>
    <mergeCell ref="C24:E24"/>
    <mergeCell ref="C25:E25"/>
    <mergeCell ref="C26:E26"/>
    <mergeCell ref="C27:E27"/>
    <mergeCell ref="C43:E43"/>
    <mergeCell ref="C44:E44"/>
    <mergeCell ref="C33:E33"/>
    <mergeCell ref="C34:E34"/>
    <mergeCell ref="C35:E35"/>
    <mergeCell ref="C36:E36"/>
    <mergeCell ref="C37:E37"/>
    <mergeCell ref="C19:E19"/>
    <mergeCell ref="C20:E20"/>
    <mergeCell ref="C21:E21"/>
    <mergeCell ref="C22:E22"/>
    <mergeCell ref="C11:E11"/>
    <mergeCell ref="C12:E12"/>
    <mergeCell ref="C13:E13"/>
    <mergeCell ref="C14:E14"/>
    <mergeCell ref="C18:E18"/>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80FBF7-2AB5-9444-AA5B-17E995302C46}">
  <dimension ref="B1:P20"/>
  <sheetViews>
    <sheetView zoomScale="76" zoomScaleNormal="75" workbookViewId="0"/>
  </sheetViews>
  <sheetFormatPr baseColWidth="10" defaultRowHeight="16" x14ac:dyDescent="0.2"/>
  <cols>
    <col min="2" max="2" width="35.6640625" bestFit="1" customWidth="1"/>
    <col min="3" max="3" width="10.5" customWidth="1"/>
    <col min="4" max="4" width="49.83203125" bestFit="1" customWidth="1"/>
  </cols>
  <sheetData>
    <row r="1" spans="2:16" x14ac:dyDescent="0.2">
      <c r="B1" s="15"/>
      <c r="C1" s="15"/>
      <c r="D1" s="15"/>
      <c r="E1" s="15"/>
      <c r="F1" s="15"/>
      <c r="G1" s="15"/>
      <c r="H1" s="15"/>
      <c r="I1" s="15"/>
      <c r="J1" s="15"/>
      <c r="K1" s="15"/>
      <c r="L1" s="15"/>
      <c r="M1" s="15"/>
      <c r="N1" s="15"/>
      <c r="O1" s="15"/>
    </row>
    <row r="2" spans="2:16" x14ac:dyDescent="0.2">
      <c r="B2" s="15"/>
      <c r="C2" s="15"/>
      <c r="D2" s="15"/>
      <c r="E2" s="15"/>
      <c r="F2" s="15"/>
      <c r="G2" s="15"/>
      <c r="H2" s="15"/>
      <c r="I2" s="15"/>
      <c r="J2" s="15"/>
      <c r="K2" s="15"/>
      <c r="L2" s="15"/>
      <c r="M2" s="15"/>
      <c r="N2" s="15"/>
      <c r="O2" s="15"/>
    </row>
    <row r="3" spans="2:16" ht="19" x14ac:dyDescent="0.25">
      <c r="B3" s="25"/>
      <c r="C3" s="26" t="s">
        <v>896</v>
      </c>
      <c r="D3" s="27" t="s">
        <v>897</v>
      </c>
      <c r="E3" s="15"/>
      <c r="F3" s="15"/>
      <c r="G3" s="49" t="s">
        <v>895</v>
      </c>
      <c r="H3" s="49"/>
      <c r="I3" s="15"/>
      <c r="J3" s="15"/>
      <c r="K3" s="15"/>
      <c r="L3" s="15"/>
      <c r="M3" s="15"/>
      <c r="N3" s="15"/>
      <c r="O3" s="15"/>
    </row>
    <row r="4" spans="2:16" x14ac:dyDescent="0.2">
      <c r="B4" s="18" t="s">
        <v>898</v>
      </c>
      <c r="C4" s="29">
        <f>SUMIF(Dataset[Purchase_Flag],1,Dataset[Total_Spent (€)])</f>
        <v>4935.5599999999986</v>
      </c>
      <c r="D4" s="7" t="s">
        <v>899</v>
      </c>
      <c r="E4" s="15"/>
      <c r="F4" s="15"/>
      <c r="G4" s="15" t="s">
        <v>908</v>
      </c>
      <c r="H4" s="15"/>
      <c r="I4" s="15"/>
      <c r="J4" s="15"/>
      <c r="K4" s="15"/>
      <c r="L4" s="15"/>
      <c r="M4" s="15"/>
      <c r="N4" s="15"/>
      <c r="O4" s="15"/>
      <c r="P4" s="4"/>
    </row>
    <row r="5" spans="2:16" x14ac:dyDescent="0.2">
      <c r="B5" s="18" t="s">
        <v>900</v>
      </c>
      <c r="C5" s="30">
        <f>COUNTIF(Dataset[Purchase_Flag],1)/COUNTA(Dataset[Purchase_Flag])</f>
        <v>0.49399999999999999</v>
      </c>
      <c r="D5" s="7" t="s">
        <v>901</v>
      </c>
      <c r="E5" s="15"/>
      <c r="F5" s="15"/>
      <c r="G5" s="15" t="s">
        <v>917</v>
      </c>
      <c r="H5" s="15"/>
      <c r="I5" s="15"/>
      <c r="J5" s="15"/>
      <c r="K5" s="15"/>
      <c r="L5" s="15"/>
      <c r="M5" s="15"/>
      <c r="N5" s="15"/>
      <c r="O5" s="15"/>
      <c r="P5" s="4"/>
    </row>
    <row r="6" spans="2:16" x14ac:dyDescent="0.2">
      <c r="B6" s="18" t="s">
        <v>902</v>
      </c>
      <c r="C6" s="29">
        <f>AVERAGEIF(Dataset[Purchase_Flag],1,Dataset[Total_Spent (€)])</f>
        <v>19.982024291497972</v>
      </c>
      <c r="D6" s="7" t="s">
        <v>903</v>
      </c>
      <c r="E6" s="15"/>
      <c r="F6" s="15"/>
      <c r="G6" s="15" t="s">
        <v>918</v>
      </c>
      <c r="H6" s="15"/>
      <c r="I6" s="15"/>
      <c r="J6" s="15"/>
      <c r="K6" s="15"/>
      <c r="L6" s="15"/>
      <c r="M6" s="15"/>
      <c r="N6" s="15"/>
      <c r="O6" s="15"/>
      <c r="P6" s="4"/>
    </row>
    <row r="7" spans="2:16" x14ac:dyDescent="0.2">
      <c r="B7" s="18" t="s">
        <v>904</v>
      </c>
      <c r="C7" s="29">
        <f>AVERAGE(Dataset[Contact_Cost (€)])</f>
        <v>6.0856199999999996</v>
      </c>
      <c r="D7" s="7" t="s">
        <v>905</v>
      </c>
      <c r="E7" s="15"/>
      <c r="F7" s="15"/>
      <c r="G7" s="15" t="s">
        <v>919</v>
      </c>
      <c r="H7" s="15"/>
      <c r="I7" s="15"/>
      <c r="J7" s="15"/>
      <c r="K7" s="15"/>
      <c r="L7" s="15"/>
      <c r="M7" s="15"/>
      <c r="N7" s="15"/>
      <c r="O7" s="15"/>
      <c r="P7" s="4"/>
    </row>
    <row r="8" spans="2:16" x14ac:dyDescent="0.2">
      <c r="B8" s="18" t="s">
        <v>906</v>
      </c>
      <c r="C8" s="31">
        <f>SUMIF(Dataset[Purchase_Flag],1,Dataset[Contact_Cost (€)]) / SUMIF(Dataset[Purchase_Flag],1,Dataset[Total_Spent (€)])</f>
        <v>0.30338603927416546</v>
      </c>
      <c r="D8" s="7" t="s">
        <v>907</v>
      </c>
      <c r="E8" s="15"/>
      <c r="F8" s="15"/>
      <c r="G8" s="15" t="s">
        <v>920</v>
      </c>
      <c r="H8" s="15"/>
      <c r="I8" s="15"/>
      <c r="J8" s="15"/>
      <c r="K8" s="15"/>
      <c r="L8" s="15"/>
      <c r="M8" s="15"/>
      <c r="N8" s="15"/>
      <c r="O8" s="15"/>
      <c r="P8" s="4"/>
    </row>
    <row r="9" spans="2:16" x14ac:dyDescent="0.2">
      <c r="B9" s="15"/>
      <c r="C9" s="15"/>
      <c r="D9" s="15"/>
      <c r="E9" s="15"/>
      <c r="F9" s="15"/>
      <c r="G9" s="25"/>
      <c r="H9" s="15"/>
      <c r="I9" s="15"/>
      <c r="J9" s="15"/>
      <c r="K9" s="15"/>
      <c r="L9" s="15"/>
      <c r="M9" s="15"/>
      <c r="N9" s="15"/>
      <c r="O9" s="15"/>
    </row>
    <row r="10" spans="2:16" x14ac:dyDescent="0.2">
      <c r="B10" s="15"/>
      <c r="C10" s="15"/>
      <c r="D10" s="15"/>
      <c r="E10" s="15"/>
      <c r="F10" s="15"/>
      <c r="G10" s="15"/>
      <c r="H10" s="15"/>
      <c r="I10" s="15"/>
      <c r="J10" s="15"/>
      <c r="K10" s="15"/>
      <c r="L10" s="15"/>
      <c r="M10" s="15"/>
      <c r="N10" s="15"/>
      <c r="O10" s="15"/>
    </row>
    <row r="11" spans="2:16" x14ac:dyDescent="0.2">
      <c r="B11" s="15"/>
      <c r="C11" s="15"/>
      <c r="D11" s="15"/>
      <c r="E11" s="15"/>
      <c r="F11" s="15"/>
      <c r="G11" s="15"/>
      <c r="H11" s="15"/>
      <c r="I11" s="15"/>
      <c r="J11" s="15"/>
      <c r="K11" s="15"/>
      <c r="L11" s="15"/>
      <c r="M11" s="15"/>
      <c r="N11" s="15"/>
      <c r="O11" s="15"/>
    </row>
    <row r="12" spans="2:16" x14ac:dyDescent="0.2">
      <c r="B12" s="15"/>
      <c r="C12" s="15"/>
      <c r="D12" s="15"/>
      <c r="E12" s="15"/>
      <c r="F12" s="15"/>
      <c r="G12" s="25"/>
      <c r="H12" s="15"/>
      <c r="I12" s="15"/>
      <c r="J12" s="15"/>
      <c r="K12" s="15"/>
      <c r="L12" s="15"/>
      <c r="M12" s="15"/>
      <c r="N12" s="15"/>
      <c r="O12" s="15"/>
    </row>
    <row r="13" spans="2:16" x14ac:dyDescent="0.2">
      <c r="B13" s="15"/>
      <c r="C13" s="15"/>
      <c r="D13" s="15"/>
      <c r="E13" s="15"/>
      <c r="F13" s="15"/>
      <c r="G13" s="15"/>
      <c r="H13" s="15"/>
      <c r="I13" s="15"/>
      <c r="J13" s="15"/>
      <c r="K13" s="15"/>
      <c r="L13" s="15"/>
      <c r="M13" s="15"/>
      <c r="N13" s="15"/>
      <c r="O13" s="15"/>
    </row>
    <row r="14" spans="2:16" x14ac:dyDescent="0.2">
      <c r="B14" s="15"/>
      <c r="C14" s="15"/>
      <c r="D14" s="15"/>
      <c r="E14" s="15"/>
      <c r="F14" s="15"/>
      <c r="G14" s="25"/>
      <c r="H14" s="15"/>
      <c r="I14" s="15"/>
      <c r="J14" s="15"/>
      <c r="K14" s="15"/>
      <c r="L14" s="15"/>
      <c r="M14" s="15"/>
      <c r="N14" s="15"/>
      <c r="O14" s="15"/>
    </row>
    <row r="15" spans="2:16" x14ac:dyDescent="0.2">
      <c r="B15" s="15"/>
      <c r="C15" s="15"/>
      <c r="D15" s="15"/>
      <c r="E15" s="15"/>
      <c r="F15" s="15"/>
      <c r="G15" s="15"/>
      <c r="H15" s="15"/>
      <c r="I15" s="15"/>
      <c r="J15" s="15"/>
      <c r="K15" s="15"/>
      <c r="L15" s="15"/>
      <c r="M15" s="15"/>
      <c r="N15" s="15"/>
      <c r="O15" s="15"/>
    </row>
    <row r="16" spans="2:16" x14ac:dyDescent="0.2">
      <c r="B16" s="15"/>
      <c r="C16" s="15"/>
      <c r="D16" s="15"/>
      <c r="E16" s="15"/>
      <c r="F16" s="15"/>
      <c r="G16" s="25"/>
      <c r="H16" s="15"/>
      <c r="I16" s="15"/>
      <c r="J16" s="15"/>
      <c r="K16" s="15"/>
      <c r="L16" s="15"/>
      <c r="M16" s="15"/>
      <c r="N16" s="15"/>
      <c r="O16" s="15"/>
    </row>
    <row r="18" spans="7:7" x14ac:dyDescent="0.2">
      <c r="G18" s="1"/>
    </row>
    <row r="20" spans="7:7" x14ac:dyDescent="0.2">
      <c r="G20" s="1"/>
    </row>
  </sheetData>
  <mergeCells count="1">
    <mergeCell ref="G3:H3"/>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B713D4-F79F-214E-B70E-4E79C71921ED}">
  <dimension ref="A1:Q50"/>
  <sheetViews>
    <sheetView zoomScale="75" zoomScaleNormal="88" workbookViewId="0"/>
  </sheetViews>
  <sheetFormatPr baseColWidth="10" defaultRowHeight="16" x14ac:dyDescent="0.2"/>
  <cols>
    <col min="2" max="2" width="24.83203125" bestFit="1" customWidth="1"/>
    <col min="3" max="3" width="19" bestFit="1" customWidth="1"/>
    <col min="4" max="4" width="22.6640625" bestFit="1" customWidth="1"/>
    <col min="5" max="5" width="17.1640625" bestFit="1" customWidth="1"/>
  </cols>
  <sheetData>
    <row r="1" spans="1:17" x14ac:dyDescent="0.2">
      <c r="A1" s="15"/>
      <c r="B1" s="15"/>
      <c r="C1" s="15"/>
      <c r="D1" s="15"/>
      <c r="E1" s="15"/>
      <c r="F1" s="15"/>
      <c r="G1" s="15"/>
      <c r="H1" s="15"/>
      <c r="I1" s="15"/>
      <c r="J1" s="15"/>
      <c r="K1" s="15"/>
      <c r="L1" s="15"/>
      <c r="M1" s="15"/>
      <c r="N1" s="15"/>
      <c r="O1" s="15"/>
      <c r="P1" s="15"/>
      <c r="Q1" s="15"/>
    </row>
    <row r="2" spans="1:17" x14ac:dyDescent="0.2">
      <c r="A2" s="15"/>
      <c r="B2" s="15"/>
      <c r="C2" s="15"/>
      <c r="D2" s="15"/>
      <c r="E2" s="15"/>
      <c r="F2" s="15"/>
      <c r="G2" s="15"/>
      <c r="H2" s="15"/>
      <c r="I2" s="15"/>
      <c r="J2" s="15"/>
      <c r="K2" s="15"/>
      <c r="L2" s="15"/>
      <c r="M2" s="15"/>
      <c r="N2" s="15"/>
      <c r="O2" s="15"/>
      <c r="P2" s="15"/>
      <c r="Q2" s="15"/>
    </row>
    <row r="3" spans="1:17" x14ac:dyDescent="0.2">
      <c r="A3" s="15"/>
      <c r="B3" s="24" t="s">
        <v>881</v>
      </c>
      <c r="C3" s="15" t="s">
        <v>852</v>
      </c>
      <c r="D3" s="15"/>
      <c r="E3" s="15"/>
      <c r="F3" s="15"/>
      <c r="G3" s="15"/>
      <c r="H3" s="15"/>
      <c r="I3" s="15"/>
      <c r="J3" s="15"/>
      <c r="K3" s="15"/>
      <c r="L3" s="15"/>
      <c r="M3" s="15"/>
      <c r="N3" s="15"/>
      <c r="O3" s="15"/>
      <c r="P3" s="15"/>
      <c r="Q3" s="15"/>
    </row>
    <row r="4" spans="1:17" x14ac:dyDescent="0.2">
      <c r="A4" s="15"/>
      <c r="B4" s="15" t="s">
        <v>882</v>
      </c>
      <c r="C4" s="15">
        <v>224.62</v>
      </c>
      <c r="D4" s="15"/>
      <c r="E4" s="15"/>
      <c r="F4" s="15"/>
      <c r="G4" s="15"/>
      <c r="H4" s="15"/>
      <c r="I4" s="15"/>
      <c r="J4" s="15"/>
      <c r="K4" s="15"/>
      <c r="L4" s="15"/>
      <c r="M4" s="15"/>
      <c r="N4" s="15"/>
      <c r="O4" s="15"/>
      <c r="P4" s="15"/>
      <c r="Q4" s="15"/>
    </row>
    <row r="5" spans="1:17" x14ac:dyDescent="0.2">
      <c r="A5" s="15"/>
      <c r="B5" s="15" t="s">
        <v>883</v>
      </c>
      <c r="C5" s="15">
        <v>498.35000000000008</v>
      </c>
      <c r="D5" s="15"/>
      <c r="E5" s="15"/>
      <c r="F5" s="15"/>
      <c r="G5" s="15"/>
      <c r="H5" s="15"/>
      <c r="I5" s="15"/>
      <c r="J5" s="15"/>
      <c r="K5" s="15"/>
      <c r="L5" s="15"/>
      <c r="M5" s="15"/>
      <c r="N5" s="15"/>
      <c r="O5" s="15"/>
      <c r="P5" s="15"/>
      <c r="Q5" s="15"/>
    </row>
    <row r="6" spans="1:17" x14ac:dyDescent="0.2">
      <c r="A6" s="15"/>
      <c r="B6" s="15" t="s">
        <v>884</v>
      </c>
      <c r="C6" s="15">
        <v>365.51000000000005</v>
      </c>
      <c r="D6" s="15"/>
      <c r="E6" s="15"/>
      <c r="F6" s="15"/>
      <c r="G6" s="15"/>
      <c r="H6" s="15"/>
      <c r="I6" s="15"/>
      <c r="J6" s="15"/>
      <c r="K6" s="15"/>
      <c r="L6" s="15"/>
      <c r="M6" s="15"/>
      <c r="N6" s="15"/>
      <c r="O6" s="15"/>
      <c r="P6" s="15"/>
      <c r="Q6" s="15"/>
    </row>
    <row r="7" spans="1:17" x14ac:dyDescent="0.2">
      <c r="A7" s="15"/>
      <c r="B7" s="15" t="s">
        <v>885</v>
      </c>
      <c r="C7" s="15">
        <v>603.83999999999992</v>
      </c>
      <c r="D7" s="15"/>
      <c r="E7" s="15"/>
      <c r="F7" s="15"/>
      <c r="G7" s="15"/>
      <c r="H7" s="15"/>
      <c r="I7" s="15"/>
      <c r="J7" s="15"/>
      <c r="K7" s="15"/>
      <c r="L7" s="15"/>
      <c r="M7" s="15"/>
      <c r="N7" s="15"/>
      <c r="O7" s="15"/>
      <c r="P7" s="15"/>
      <c r="Q7" s="15"/>
    </row>
    <row r="8" spans="1:17" x14ac:dyDescent="0.2">
      <c r="A8" s="15"/>
      <c r="B8" s="15" t="s">
        <v>886</v>
      </c>
      <c r="C8" s="15">
        <v>627.64</v>
      </c>
      <c r="D8" s="15"/>
      <c r="E8" s="15"/>
      <c r="F8" s="15"/>
      <c r="G8" s="15"/>
      <c r="H8" s="15"/>
      <c r="I8" s="15"/>
      <c r="J8" s="15"/>
      <c r="K8" s="15"/>
      <c r="L8" s="15"/>
      <c r="M8" s="15"/>
      <c r="N8" s="15"/>
      <c r="O8" s="15"/>
      <c r="P8" s="15"/>
      <c r="Q8" s="15"/>
    </row>
    <row r="9" spans="1:17" x14ac:dyDescent="0.2">
      <c r="A9" s="15"/>
      <c r="B9" s="15" t="s">
        <v>887</v>
      </c>
      <c r="C9" s="15">
        <v>201.23000000000002</v>
      </c>
      <c r="D9" s="15"/>
      <c r="E9" s="15"/>
      <c r="F9" s="15"/>
      <c r="G9" s="15"/>
      <c r="H9" s="15"/>
      <c r="I9" s="15"/>
      <c r="J9" s="15"/>
      <c r="K9" s="15"/>
      <c r="L9" s="15"/>
      <c r="M9" s="15"/>
      <c r="N9" s="15"/>
      <c r="O9" s="15"/>
      <c r="P9" s="15"/>
      <c r="Q9" s="15"/>
    </row>
    <row r="10" spans="1:17" x14ac:dyDescent="0.2">
      <c r="A10" s="15"/>
      <c r="B10" s="15" t="s">
        <v>888</v>
      </c>
      <c r="C10" s="15">
        <v>296.80999999999995</v>
      </c>
      <c r="D10" s="15"/>
      <c r="E10" s="15"/>
      <c r="F10" s="15"/>
      <c r="G10" s="15"/>
      <c r="H10" s="15"/>
      <c r="I10" s="15"/>
      <c r="J10" s="15"/>
      <c r="K10" s="15"/>
      <c r="L10" s="15"/>
      <c r="M10" s="15"/>
      <c r="N10" s="15"/>
      <c r="O10" s="15"/>
      <c r="P10" s="15"/>
      <c r="Q10" s="15"/>
    </row>
    <row r="11" spans="1:17" x14ac:dyDescent="0.2">
      <c r="A11" s="15"/>
      <c r="B11" s="15" t="s">
        <v>889</v>
      </c>
      <c r="C11" s="15">
        <v>448.59999999999991</v>
      </c>
      <c r="D11" s="15"/>
      <c r="E11" s="15"/>
      <c r="F11" s="15"/>
      <c r="G11" s="15"/>
      <c r="H11" s="15"/>
      <c r="I11" s="15"/>
      <c r="J11" s="15"/>
      <c r="K11" s="15"/>
      <c r="L11" s="15"/>
      <c r="M11" s="15"/>
      <c r="N11" s="15"/>
      <c r="O11" s="15"/>
      <c r="P11" s="15"/>
      <c r="Q11" s="15"/>
    </row>
    <row r="12" spans="1:17" x14ac:dyDescent="0.2">
      <c r="A12" s="15"/>
      <c r="B12" s="15" t="s">
        <v>890</v>
      </c>
      <c r="C12" s="15">
        <v>324.42999999999995</v>
      </c>
      <c r="D12" s="15"/>
      <c r="E12" s="15"/>
      <c r="F12" s="15"/>
      <c r="G12" s="15"/>
      <c r="H12" s="15"/>
      <c r="I12" s="15"/>
      <c r="J12" s="15"/>
      <c r="K12" s="15"/>
      <c r="L12" s="15"/>
      <c r="M12" s="15"/>
      <c r="N12" s="15"/>
      <c r="O12" s="15"/>
      <c r="P12" s="15"/>
      <c r="Q12" s="15"/>
    </row>
    <row r="13" spans="1:17" x14ac:dyDescent="0.2">
      <c r="A13" s="15"/>
      <c r="B13" s="15" t="s">
        <v>891</v>
      </c>
      <c r="C13" s="15">
        <v>504.52</v>
      </c>
      <c r="D13" s="15"/>
      <c r="E13" s="15"/>
      <c r="F13" s="15"/>
      <c r="G13" s="15"/>
      <c r="H13" s="15"/>
      <c r="I13" s="15"/>
      <c r="J13" s="15"/>
      <c r="K13" s="15"/>
      <c r="L13" s="15"/>
      <c r="M13" s="15"/>
      <c r="N13" s="15"/>
      <c r="O13" s="15"/>
      <c r="P13" s="15"/>
      <c r="Q13" s="15"/>
    </row>
    <row r="14" spans="1:17" x14ac:dyDescent="0.2">
      <c r="A14" s="15"/>
      <c r="B14" s="15" t="s">
        <v>892</v>
      </c>
      <c r="C14" s="15">
        <v>641.20000000000005</v>
      </c>
      <c r="D14" s="15"/>
      <c r="E14" s="15"/>
      <c r="F14" s="15"/>
      <c r="G14" s="15"/>
      <c r="H14" s="15"/>
      <c r="I14" s="15"/>
      <c r="J14" s="15"/>
      <c r="K14" s="15"/>
      <c r="L14" s="15"/>
      <c r="M14" s="15"/>
      <c r="N14" s="15"/>
      <c r="O14" s="15"/>
      <c r="P14" s="15"/>
      <c r="Q14" s="15"/>
    </row>
    <row r="15" spans="1:17" x14ac:dyDescent="0.2">
      <c r="A15" s="15"/>
      <c r="B15" s="15" t="s">
        <v>893</v>
      </c>
      <c r="C15" s="15">
        <v>198.81</v>
      </c>
      <c r="D15" s="15"/>
      <c r="E15" s="15"/>
      <c r="F15" s="15"/>
      <c r="G15" s="15"/>
      <c r="H15" s="15"/>
      <c r="I15" s="15"/>
      <c r="J15" s="15"/>
      <c r="K15" s="15"/>
      <c r="L15" s="15"/>
      <c r="M15" s="15"/>
      <c r="N15" s="15"/>
      <c r="O15" s="15"/>
      <c r="P15" s="15"/>
      <c r="Q15" s="15"/>
    </row>
    <row r="16" spans="1:17" x14ac:dyDescent="0.2">
      <c r="A16" s="15"/>
      <c r="B16" s="15" t="s">
        <v>894</v>
      </c>
      <c r="C16" s="15">
        <v>4935.5600000000004</v>
      </c>
      <c r="D16" s="15"/>
      <c r="E16" s="15"/>
      <c r="F16" s="15"/>
      <c r="G16" s="15"/>
      <c r="H16" s="15"/>
      <c r="I16" s="15"/>
      <c r="J16" s="15"/>
      <c r="K16" s="15"/>
      <c r="L16" s="15"/>
      <c r="M16" s="15"/>
      <c r="N16" s="15"/>
      <c r="O16" s="15"/>
      <c r="P16" s="15"/>
      <c r="Q16" s="15"/>
    </row>
    <row r="17" spans="1:17" x14ac:dyDescent="0.2">
      <c r="A17" s="15"/>
      <c r="B17" s="15"/>
      <c r="C17" s="15"/>
      <c r="D17" s="15"/>
      <c r="E17" s="15"/>
      <c r="F17" s="15"/>
      <c r="G17" s="15"/>
      <c r="H17" s="15"/>
      <c r="I17" s="15"/>
      <c r="J17" s="15"/>
      <c r="K17" s="15"/>
      <c r="L17" s="15"/>
      <c r="M17" s="15"/>
      <c r="N17" s="15"/>
      <c r="O17" s="15"/>
      <c r="P17" s="15"/>
      <c r="Q17" s="15"/>
    </row>
    <row r="18" spans="1:17" x14ac:dyDescent="0.2">
      <c r="A18" s="15"/>
      <c r="B18" s="15"/>
      <c r="C18" s="15"/>
      <c r="D18" s="15"/>
      <c r="E18" s="15"/>
      <c r="F18" s="15"/>
      <c r="G18" s="15"/>
      <c r="H18" s="15"/>
      <c r="I18" s="15"/>
      <c r="J18" s="15"/>
      <c r="K18" s="15"/>
      <c r="L18" s="15"/>
      <c r="M18" s="15"/>
      <c r="N18" s="15"/>
      <c r="O18" s="15"/>
      <c r="P18" s="15"/>
      <c r="Q18" s="15"/>
    </row>
    <row r="19" spans="1:17" x14ac:dyDescent="0.2">
      <c r="A19" s="15"/>
      <c r="B19" s="15"/>
      <c r="C19" s="15"/>
      <c r="D19" s="15"/>
      <c r="E19" s="15"/>
      <c r="F19" s="15"/>
      <c r="G19" s="15"/>
      <c r="H19" s="15"/>
      <c r="I19" s="15"/>
      <c r="J19" s="15"/>
      <c r="K19" s="15"/>
      <c r="L19" s="15"/>
      <c r="M19" s="15"/>
      <c r="N19" s="15"/>
      <c r="O19" s="15"/>
      <c r="P19" s="15"/>
      <c r="Q19" s="15"/>
    </row>
    <row r="20" spans="1:17" x14ac:dyDescent="0.2">
      <c r="A20" s="15"/>
      <c r="B20" s="15"/>
      <c r="C20" s="15"/>
      <c r="D20" s="15"/>
      <c r="E20" s="15"/>
      <c r="F20" s="15"/>
      <c r="G20" s="15"/>
      <c r="H20" s="15"/>
      <c r="I20" s="15"/>
      <c r="J20" s="15"/>
      <c r="K20" s="15"/>
      <c r="L20" s="15"/>
      <c r="M20" s="15"/>
      <c r="N20" s="15"/>
      <c r="O20" s="15"/>
      <c r="P20" s="15"/>
      <c r="Q20" s="15"/>
    </row>
    <row r="21" spans="1:17" x14ac:dyDescent="0.2">
      <c r="A21" s="15"/>
      <c r="B21" s="15"/>
      <c r="C21" s="15"/>
      <c r="D21" s="15"/>
      <c r="E21" s="15"/>
      <c r="F21" s="15"/>
      <c r="G21" s="15"/>
      <c r="H21" s="15"/>
      <c r="I21" s="15"/>
      <c r="J21" s="15"/>
      <c r="K21" s="15"/>
      <c r="L21" s="15"/>
      <c r="M21" s="15"/>
      <c r="N21" s="15"/>
      <c r="O21" s="15"/>
      <c r="P21" s="15"/>
      <c r="Q21" s="15"/>
    </row>
    <row r="22" spans="1:17" x14ac:dyDescent="0.2">
      <c r="A22" s="15"/>
      <c r="B22" s="15"/>
      <c r="C22" s="15"/>
      <c r="D22" s="15"/>
      <c r="E22" s="15"/>
      <c r="F22" s="15"/>
      <c r="G22" s="15"/>
      <c r="H22" s="15"/>
      <c r="I22" s="15"/>
      <c r="J22" s="15"/>
      <c r="K22" s="15"/>
      <c r="L22" s="15"/>
      <c r="M22" s="15"/>
      <c r="N22" s="15"/>
      <c r="O22" s="15"/>
      <c r="P22" s="15"/>
      <c r="Q22" s="15"/>
    </row>
    <row r="23" spans="1:17" x14ac:dyDescent="0.2">
      <c r="A23" s="15"/>
      <c r="B23" s="15"/>
      <c r="C23" s="15"/>
      <c r="D23" s="15"/>
      <c r="E23" s="15"/>
      <c r="F23" s="15"/>
      <c r="G23" s="15"/>
      <c r="H23" s="15"/>
      <c r="I23" s="15"/>
      <c r="J23" s="15"/>
      <c r="K23" s="15"/>
      <c r="L23" s="15"/>
      <c r="M23" s="15"/>
      <c r="N23" s="15"/>
      <c r="O23" s="15"/>
      <c r="P23" s="15"/>
      <c r="Q23" s="15"/>
    </row>
    <row r="24" spans="1:17" x14ac:dyDescent="0.2">
      <c r="A24" s="15"/>
      <c r="B24" s="15"/>
      <c r="C24" s="15"/>
      <c r="D24" s="15"/>
      <c r="E24" s="15"/>
      <c r="F24" s="15"/>
      <c r="G24" s="15"/>
      <c r="H24" s="15"/>
      <c r="I24" s="15"/>
      <c r="J24" s="15"/>
      <c r="K24" s="15"/>
      <c r="L24" s="15"/>
      <c r="M24" s="15"/>
      <c r="N24" s="15"/>
      <c r="O24" s="15"/>
      <c r="P24" s="15"/>
      <c r="Q24" s="15"/>
    </row>
    <row r="25" spans="1:17" x14ac:dyDescent="0.2">
      <c r="A25" s="15"/>
      <c r="B25" s="15"/>
      <c r="C25" s="15"/>
      <c r="D25" s="15"/>
      <c r="E25" s="15"/>
      <c r="F25" s="15"/>
      <c r="G25" s="15"/>
      <c r="H25" s="15"/>
      <c r="I25" s="15"/>
      <c r="J25" s="15"/>
      <c r="K25" s="15"/>
      <c r="L25" s="15"/>
      <c r="M25" s="15"/>
      <c r="N25" s="15"/>
      <c r="O25" s="15"/>
      <c r="P25" s="15"/>
      <c r="Q25" s="15"/>
    </row>
    <row r="26" spans="1:17" x14ac:dyDescent="0.2">
      <c r="A26" s="15"/>
      <c r="B26" s="15"/>
      <c r="C26" s="15"/>
      <c r="D26" s="15"/>
      <c r="E26" s="15"/>
      <c r="F26" s="15"/>
      <c r="G26" s="15"/>
      <c r="H26" s="15"/>
      <c r="I26" s="15"/>
      <c r="J26" s="15"/>
      <c r="K26" s="15"/>
      <c r="L26" s="15"/>
      <c r="M26" s="15"/>
      <c r="N26" s="15"/>
      <c r="O26" s="15"/>
      <c r="P26" s="15"/>
      <c r="Q26" s="15"/>
    </row>
    <row r="27" spans="1:17" x14ac:dyDescent="0.2">
      <c r="A27" s="15"/>
      <c r="B27" s="15"/>
      <c r="C27" s="15"/>
      <c r="D27" s="15"/>
      <c r="E27" s="15"/>
      <c r="F27" s="15"/>
      <c r="G27" s="15"/>
      <c r="H27" s="15"/>
      <c r="I27" s="15"/>
      <c r="J27" s="15"/>
      <c r="K27" s="15"/>
      <c r="L27" s="15"/>
      <c r="M27" s="15"/>
      <c r="N27" s="15"/>
      <c r="O27" s="15"/>
      <c r="P27" s="15"/>
      <c r="Q27" s="15"/>
    </row>
    <row r="28" spans="1:17" x14ac:dyDescent="0.2">
      <c r="A28" s="15"/>
      <c r="B28" s="15"/>
      <c r="C28" s="15"/>
      <c r="D28" s="15"/>
      <c r="E28" s="15"/>
      <c r="F28" s="15"/>
      <c r="G28" s="15"/>
      <c r="H28" s="15"/>
      <c r="I28" s="15"/>
      <c r="J28" s="15"/>
      <c r="K28" s="15"/>
      <c r="L28" s="15"/>
      <c r="M28" s="15"/>
      <c r="N28" s="15"/>
      <c r="O28" s="15"/>
      <c r="P28" s="15"/>
      <c r="Q28" s="15"/>
    </row>
    <row r="29" spans="1:17" x14ac:dyDescent="0.2">
      <c r="A29" s="15"/>
      <c r="B29" s="15"/>
      <c r="C29" s="15"/>
      <c r="D29" s="15"/>
      <c r="E29" s="15"/>
      <c r="F29" s="15"/>
      <c r="G29" s="15"/>
      <c r="H29" s="15"/>
      <c r="I29" s="15"/>
      <c r="J29" s="15"/>
      <c r="K29" s="15"/>
      <c r="L29" s="15"/>
      <c r="M29" s="15"/>
      <c r="N29" s="15"/>
      <c r="O29" s="15"/>
      <c r="P29" s="15"/>
      <c r="Q29" s="15"/>
    </row>
    <row r="30" spans="1:17" x14ac:dyDescent="0.2">
      <c r="A30" s="15"/>
      <c r="B30" s="15"/>
      <c r="C30" s="15"/>
      <c r="D30" s="15"/>
      <c r="E30" s="15"/>
      <c r="F30" s="15"/>
      <c r="G30" s="15"/>
      <c r="H30" s="15"/>
      <c r="I30" s="15"/>
      <c r="J30" s="15"/>
      <c r="K30" s="15"/>
      <c r="L30" s="15"/>
      <c r="M30" s="15"/>
      <c r="N30" s="15"/>
      <c r="O30" s="15"/>
      <c r="P30" s="15"/>
      <c r="Q30" s="15"/>
    </row>
    <row r="31" spans="1:17" x14ac:dyDescent="0.2">
      <c r="A31" s="15"/>
      <c r="B31" s="15"/>
      <c r="C31" s="15"/>
      <c r="D31" s="15"/>
      <c r="E31" s="15"/>
      <c r="F31" s="15"/>
      <c r="G31" s="15"/>
      <c r="H31" s="15"/>
      <c r="I31" s="15"/>
      <c r="J31" s="15"/>
      <c r="K31" s="15"/>
      <c r="L31" s="15"/>
      <c r="M31" s="15"/>
      <c r="N31" s="15"/>
      <c r="O31" s="15"/>
      <c r="P31" s="15"/>
      <c r="Q31" s="15"/>
    </row>
    <row r="32" spans="1:17" x14ac:dyDescent="0.2">
      <c r="A32" s="15"/>
      <c r="B32" s="15"/>
      <c r="C32" s="15"/>
      <c r="D32" s="15"/>
      <c r="E32" s="15"/>
      <c r="F32" s="15"/>
      <c r="G32" s="15"/>
      <c r="H32" s="15"/>
      <c r="I32" s="15"/>
      <c r="J32" s="15"/>
      <c r="K32" s="15"/>
      <c r="L32" s="15"/>
      <c r="M32" s="15"/>
      <c r="N32" s="15"/>
      <c r="O32" s="15"/>
      <c r="P32" s="15"/>
      <c r="Q32" s="15"/>
    </row>
    <row r="33" spans="1:17" x14ac:dyDescent="0.2">
      <c r="A33" s="15"/>
      <c r="B33" s="15"/>
      <c r="C33" s="15"/>
      <c r="D33" s="15"/>
      <c r="E33" s="15"/>
      <c r="F33" s="15"/>
      <c r="G33" s="15"/>
      <c r="H33" s="15"/>
      <c r="I33" s="15"/>
      <c r="J33" s="15"/>
      <c r="K33" s="15"/>
      <c r="L33" s="15"/>
      <c r="M33" s="15"/>
      <c r="N33" s="15"/>
      <c r="O33" s="15"/>
      <c r="P33" s="15"/>
      <c r="Q33" s="15"/>
    </row>
    <row r="34" spans="1:17" x14ac:dyDescent="0.2">
      <c r="A34" s="15"/>
      <c r="B34" s="15"/>
      <c r="C34" s="15"/>
      <c r="D34" s="15"/>
      <c r="E34" s="15"/>
      <c r="F34" s="15"/>
      <c r="G34" s="15"/>
      <c r="H34" s="15"/>
      <c r="I34" s="15"/>
      <c r="J34" s="15"/>
      <c r="K34" s="15"/>
      <c r="L34" s="15"/>
      <c r="M34" s="15"/>
      <c r="N34" s="15"/>
      <c r="O34" s="15"/>
      <c r="P34" s="15"/>
      <c r="Q34" s="15"/>
    </row>
    <row r="35" spans="1:17" x14ac:dyDescent="0.2">
      <c r="A35" s="15"/>
      <c r="B35" s="15"/>
      <c r="C35" s="15"/>
      <c r="D35" s="15"/>
      <c r="E35" s="15"/>
      <c r="F35" s="15"/>
      <c r="G35" s="15"/>
      <c r="H35" s="15"/>
      <c r="I35" s="15"/>
      <c r="J35" s="15"/>
      <c r="K35" s="15"/>
      <c r="L35" s="15"/>
      <c r="M35" s="15"/>
      <c r="N35" s="15"/>
      <c r="O35" s="15"/>
      <c r="P35" s="15"/>
      <c r="Q35" s="15"/>
    </row>
    <row r="36" spans="1:17" x14ac:dyDescent="0.2">
      <c r="A36" s="15"/>
      <c r="B36" s="15"/>
      <c r="C36" s="15"/>
      <c r="D36" s="15"/>
      <c r="E36" s="17" t="s">
        <v>895</v>
      </c>
      <c r="F36" s="15"/>
      <c r="G36" s="15"/>
      <c r="H36" s="15"/>
      <c r="I36" s="15"/>
      <c r="J36" s="15"/>
      <c r="K36" s="15"/>
      <c r="L36" s="15"/>
      <c r="M36" s="15"/>
      <c r="N36" s="15"/>
      <c r="O36" s="15"/>
      <c r="P36" s="15"/>
      <c r="Q36" s="15"/>
    </row>
    <row r="37" spans="1:17" x14ac:dyDescent="0.2">
      <c r="A37" s="15"/>
      <c r="B37" s="15"/>
      <c r="C37" s="15"/>
      <c r="D37" s="15"/>
      <c r="E37" s="15" t="s">
        <v>923</v>
      </c>
      <c r="F37" s="15"/>
      <c r="G37" s="15"/>
      <c r="H37" s="15"/>
      <c r="I37" s="15"/>
      <c r="J37" s="15"/>
      <c r="K37" s="15"/>
      <c r="L37" s="15"/>
      <c r="M37" s="15"/>
      <c r="N37" s="15"/>
      <c r="O37" s="15"/>
      <c r="P37" s="15"/>
      <c r="Q37" s="15"/>
    </row>
    <row r="38" spans="1:17" x14ac:dyDescent="0.2">
      <c r="A38" s="15"/>
      <c r="B38" s="15"/>
      <c r="C38" s="15"/>
      <c r="D38" s="15"/>
      <c r="E38" s="15" t="s">
        <v>924</v>
      </c>
      <c r="F38" s="15"/>
      <c r="G38" s="15"/>
      <c r="H38" s="15"/>
      <c r="I38" s="15"/>
      <c r="J38" s="15"/>
      <c r="K38" s="15"/>
      <c r="L38" s="15"/>
      <c r="M38" s="15"/>
      <c r="N38" s="15"/>
      <c r="O38" s="15"/>
      <c r="P38" s="15"/>
      <c r="Q38" s="15"/>
    </row>
    <row r="39" spans="1:17" x14ac:dyDescent="0.2">
      <c r="A39" s="15"/>
      <c r="B39" s="15"/>
      <c r="C39" s="15"/>
      <c r="D39" s="15"/>
      <c r="E39" s="15" t="s">
        <v>925</v>
      </c>
      <c r="F39" s="15"/>
      <c r="G39" s="15"/>
      <c r="H39" s="15"/>
      <c r="I39" s="15"/>
      <c r="J39" s="15"/>
      <c r="K39" s="15"/>
      <c r="L39" s="15"/>
      <c r="M39" s="15"/>
      <c r="N39" s="15"/>
      <c r="O39" s="15"/>
      <c r="P39" s="15"/>
      <c r="Q39" s="15"/>
    </row>
    <row r="40" spans="1:17" x14ac:dyDescent="0.2">
      <c r="A40" s="15"/>
      <c r="B40" s="15"/>
      <c r="C40" s="15"/>
      <c r="D40" s="15"/>
      <c r="E40" s="15" t="s">
        <v>926</v>
      </c>
      <c r="F40" s="15"/>
      <c r="G40" s="15"/>
      <c r="H40" s="15"/>
      <c r="I40" s="15"/>
      <c r="J40" s="15"/>
      <c r="K40" s="15"/>
      <c r="L40" s="15"/>
      <c r="M40" s="15"/>
      <c r="N40" s="15"/>
      <c r="O40" s="15"/>
      <c r="P40" s="15"/>
      <c r="Q40" s="15"/>
    </row>
    <row r="41" spans="1:17" x14ac:dyDescent="0.2">
      <c r="A41" s="15"/>
      <c r="B41" s="15"/>
      <c r="C41" s="15"/>
      <c r="D41" s="15"/>
      <c r="E41" s="15" t="s">
        <v>922</v>
      </c>
      <c r="F41" s="15"/>
      <c r="G41" s="15"/>
      <c r="H41" s="15"/>
      <c r="I41" s="15"/>
      <c r="J41" s="15"/>
      <c r="K41" s="15"/>
      <c r="L41" s="15"/>
      <c r="M41" s="15"/>
      <c r="N41" s="15"/>
      <c r="O41" s="15"/>
      <c r="P41" s="15"/>
      <c r="Q41" s="15"/>
    </row>
    <row r="42" spans="1:17" x14ac:dyDescent="0.2">
      <c r="A42" s="15"/>
      <c r="B42" s="15"/>
      <c r="C42" s="15"/>
      <c r="D42" s="15"/>
      <c r="E42" s="15"/>
      <c r="F42" s="15"/>
      <c r="G42" s="15"/>
      <c r="H42" s="15"/>
      <c r="I42" s="15"/>
      <c r="J42" s="15"/>
      <c r="K42" s="15"/>
      <c r="L42" s="15"/>
      <c r="M42" s="15"/>
      <c r="N42" s="15"/>
      <c r="O42" s="15"/>
      <c r="P42" s="15"/>
      <c r="Q42" s="15"/>
    </row>
    <row r="43" spans="1:17" x14ac:dyDescent="0.2">
      <c r="A43" s="15"/>
      <c r="B43" s="15"/>
      <c r="C43" s="15"/>
      <c r="D43" s="15"/>
      <c r="E43" s="15"/>
      <c r="F43" s="15"/>
      <c r="G43" s="15"/>
      <c r="H43" s="15"/>
      <c r="I43" s="15"/>
      <c r="J43" s="15"/>
      <c r="K43" s="15"/>
      <c r="L43" s="15"/>
      <c r="M43" s="15"/>
      <c r="N43" s="15"/>
      <c r="O43" s="15"/>
      <c r="P43" s="15"/>
      <c r="Q43" s="15"/>
    </row>
    <row r="44" spans="1:17" x14ac:dyDescent="0.2">
      <c r="A44" s="15"/>
      <c r="B44" s="15"/>
      <c r="C44" s="15"/>
      <c r="D44" s="15"/>
      <c r="E44" s="15"/>
      <c r="F44" s="15"/>
      <c r="G44" s="15"/>
      <c r="H44" s="15"/>
      <c r="I44" s="15"/>
      <c r="J44" s="15"/>
      <c r="K44" s="15"/>
      <c r="L44" s="15"/>
      <c r="M44" s="15"/>
      <c r="N44" s="15"/>
      <c r="O44" s="15"/>
      <c r="P44" s="15"/>
      <c r="Q44" s="15"/>
    </row>
    <row r="45" spans="1:17" x14ac:dyDescent="0.2">
      <c r="A45" s="15"/>
      <c r="B45" s="15"/>
      <c r="C45" s="15"/>
      <c r="D45" s="15"/>
      <c r="E45" s="15"/>
      <c r="F45" s="15"/>
      <c r="G45" s="15"/>
      <c r="H45" s="15"/>
      <c r="I45" s="15"/>
      <c r="J45" s="15"/>
      <c r="K45" s="15"/>
      <c r="L45" s="15"/>
      <c r="M45" s="15"/>
      <c r="N45" s="15"/>
      <c r="O45" s="15"/>
      <c r="P45" s="15"/>
      <c r="Q45" s="15"/>
    </row>
    <row r="46" spans="1:17" x14ac:dyDescent="0.2">
      <c r="A46" s="15"/>
      <c r="B46" s="15"/>
      <c r="C46" s="15"/>
      <c r="D46" s="15"/>
      <c r="E46" s="15"/>
      <c r="F46" s="15"/>
      <c r="G46" s="15"/>
      <c r="H46" s="15"/>
      <c r="I46" s="15"/>
      <c r="J46" s="15"/>
      <c r="K46" s="15"/>
      <c r="L46" s="15"/>
      <c r="M46" s="15"/>
      <c r="N46" s="15"/>
      <c r="O46" s="15"/>
      <c r="P46" s="15"/>
      <c r="Q46" s="15"/>
    </row>
    <row r="47" spans="1:17" x14ac:dyDescent="0.2">
      <c r="A47" s="15"/>
      <c r="B47" s="15"/>
      <c r="C47" s="15"/>
      <c r="D47" s="15"/>
      <c r="E47" s="15"/>
      <c r="F47" s="15"/>
      <c r="G47" s="15"/>
      <c r="H47" s="15"/>
      <c r="I47" s="15"/>
      <c r="J47" s="15"/>
      <c r="K47" s="15"/>
      <c r="L47" s="15"/>
      <c r="M47" s="15"/>
      <c r="N47" s="15"/>
      <c r="O47" s="15"/>
      <c r="P47" s="15"/>
      <c r="Q47" s="15"/>
    </row>
    <row r="48" spans="1:17" x14ac:dyDescent="0.2">
      <c r="A48" s="15"/>
      <c r="B48" s="15"/>
      <c r="C48" s="15"/>
      <c r="D48" s="15"/>
      <c r="E48" s="15"/>
      <c r="F48" s="15"/>
      <c r="G48" s="15"/>
      <c r="H48" s="15"/>
      <c r="I48" s="15"/>
      <c r="J48" s="15"/>
      <c r="K48" s="15"/>
      <c r="L48" s="15"/>
      <c r="M48" s="15"/>
      <c r="N48" s="15"/>
      <c r="O48" s="15"/>
      <c r="P48" s="15"/>
      <c r="Q48" s="15"/>
    </row>
    <row r="49" spans="1:17" x14ac:dyDescent="0.2">
      <c r="A49" s="15"/>
      <c r="B49" s="15"/>
      <c r="C49" s="15"/>
      <c r="D49" s="15"/>
      <c r="E49" s="15"/>
      <c r="F49" s="15"/>
      <c r="G49" s="15"/>
      <c r="H49" s="15"/>
      <c r="I49" s="15"/>
      <c r="J49" s="15"/>
      <c r="K49" s="15"/>
      <c r="L49" s="15"/>
      <c r="M49" s="15"/>
      <c r="N49" s="15"/>
      <c r="O49" s="15"/>
      <c r="P49" s="15"/>
      <c r="Q49" s="15"/>
    </row>
    <row r="50" spans="1:17" x14ac:dyDescent="0.2">
      <c r="A50" s="15"/>
      <c r="B50" s="15"/>
      <c r="C50" s="15"/>
      <c r="D50" s="15"/>
      <c r="E50" s="15"/>
      <c r="F50" s="15"/>
      <c r="G50" s="15"/>
      <c r="H50" s="15"/>
      <c r="I50" s="15"/>
      <c r="J50" s="15"/>
      <c r="K50" s="15"/>
      <c r="L50" s="15"/>
      <c r="M50" s="15"/>
      <c r="N50" s="15"/>
      <c r="O50" s="15"/>
      <c r="P50" s="15"/>
      <c r="Q50" s="15"/>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4548C9-0F84-8A4D-B94D-1AADBB51AB49}">
  <dimension ref="B1:R58"/>
  <sheetViews>
    <sheetView zoomScale="75" zoomScaleNormal="63" workbookViewId="0">
      <selection activeCell="B1" sqref="B1"/>
    </sheetView>
  </sheetViews>
  <sheetFormatPr baseColWidth="10" defaultRowHeight="16" x14ac:dyDescent="0.2"/>
  <cols>
    <col min="2" max="2" width="20.6640625" bestFit="1" customWidth="1"/>
    <col min="3" max="3" width="18.83203125" bestFit="1" customWidth="1"/>
    <col min="4" max="4" width="20.1640625" bestFit="1" customWidth="1"/>
    <col min="5" max="5" width="19" bestFit="1" customWidth="1"/>
    <col min="6" max="6" width="16" bestFit="1" customWidth="1"/>
    <col min="8" max="8" width="22.5" customWidth="1"/>
    <col min="9" max="9" width="15.5" bestFit="1" customWidth="1"/>
    <col min="10" max="10" width="25" bestFit="1" customWidth="1"/>
    <col min="11" max="11" width="20.83203125" bestFit="1" customWidth="1"/>
  </cols>
  <sheetData>
    <row r="1" spans="2:18" x14ac:dyDescent="0.2">
      <c r="B1" s="15"/>
      <c r="C1" s="15"/>
      <c r="D1" s="15"/>
      <c r="E1" s="15"/>
      <c r="F1" s="15"/>
      <c r="G1" s="15"/>
      <c r="H1" s="15"/>
      <c r="I1" s="15"/>
      <c r="J1" s="15"/>
      <c r="K1" s="15"/>
      <c r="L1" s="15"/>
      <c r="M1" s="15"/>
      <c r="N1" s="15"/>
      <c r="O1" s="15"/>
      <c r="P1" s="15"/>
      <c r="Q1" s="15"/>
      <c r="R1" s="15"/>
    </row>
    <row r="2" spans="2:18" x14ac:dyDescent="0.2">
      <c r="B2" s="15"/>
      <c r="C2" s="15"/>
      <c r="D2" s="15"/>
      <c r="E2" s="15"/>
      <c r="F2" s="15"/>
      <c r="G2" s="15"/>
      <c r="H2" s="15"/>
      <c r="I2" s="15"/>
      <c r="J2" s="15"/>
      <c r="K2" s="15"/>
      <c r="L2" s="15"/>
      <c r="M2" s="15"/>
      <c r="N2" s="15"/>
      <c r="O2" s="15"/>
      <c r="P2" s="15"/>
      <c r="Q2" s="15"/>
      <c r="R2" s="15"/>
    </row>
    <row r="3" spans="2:18" x14ac:dyDescent="0.2">
      <c r="B3" s="24" t="s">
        <v>850</v>
      </c>
      <c r="C3" s="15" t="s">
        <v>909</v>
      </c>
      <c r="D3" s="15" t="s">
        <v>921</v>
      </c>
      <c r="E3" s="15" t="s">
        <v>852</v>
      </c>
      <c r="F3" s="15" t="s">
        <v>910</v>
      </c>
      <c r="G3" s="15"/>
      <c r="H3" s="25"/>
      <c r="I3" s="32" t="s">
        <v>900</v>
      </c>
      <c r="J3" s="32" t="s">
        <v>911</v>
      </c>
      <c r="K3" s="32" t="s">
        <v>906</v>
      </c>
      <c r="L3" s="15"/>
      <c r="M3" s="15"/>
      <c r="N3" s="15"/>
      <c r="O3" s="15"/>
      <c r="P3" s="15"/>
      <c r="Q3" s="15"/>
      <c r="R3" s="15"/>
    </row>
    <row r="4" spans="2:18" x14ac:dyDescent="0.2">
      <c r="B4" s="15" t="s">
        <v>861</v>
      </c>
      <c r="C4" s="15">
        <v>59</v>
      </c>
      <c r="D4" s="15">
        <v>837.53</v>
      </c>
      <c r="E4" s="15">
        <v>1012.5499999999996</v>
      </c>
      <c r="F4" s="15">
        <v>134</v>
      </c>
      <c r="G4" s="15"/>
      <c r="H4" s="18" t="s">
        <v>861</v>
      </c>
      <c r="I4" s="31">
        <f>GETPIVOTDATA("Purchase_Flag (Sum)",$B$3,"Age_Group","Emerging Professionals")/GETPIVOTDATA("Client_ID (Count)",$B$3,"Age_Group","Emerging Professionals")</f>
        <v>0.44029850746268656</v>
      </c>
      <c r="J4" s="29">
        <f>GETPIVOTDATA("Total_Spent_Sum (€)",$B$3,"Age_Group","Emerging Professionals")/GETPIVOTDATA("Purchase_Flag (Sum)",$B$3,"Age_Group","Emerging Professionals")</f>
        <v>17.161864406779653</v>
      </c>
      <c r="K4" s="31">
        <f>GETPIVOTDATA("Contact_Cost_Sum (€)",$B$3,"Age_Group","Emerging Professionals")/GETPIVOTDATA("Total_Spent_Sum (€)",$B$3,"Age_Group","Emerging Professionals")</f>
        <v>0.82714927657893467</v>
      </c>
      <c r="L4" s="15"/>
      <c r="M4" s="15"/>
      <c r="N4" s="15"/>
      <c r="O4" s="15"/>
      <c r="P4" s="15"/>
      <c r="Q4" s="15"/>
      <c r="R4" s="15"/>
    </row>
    <row r="5" spans="2:18" x14ac:dyDescent="0.2">
      <c r="B5" s="15" t="s">
        <v>862</v>
      </c>
      <c r="C5" s="15">
        <v>99</v>
      </c>
      <c r="D5" s="15">
        <v>1271.69</v>
      </c>
      <c r="E5" s="15">
        <v>2270.5299999999997</v>
      </c>
      <c r="F5" s="15">
        <v>211</v>
      </c>
      <c r="G5" s="15"/>
      <c r="H5" s="33" t="s">
        <v>862</v>
      </c>
      <c r="I5" s="31">
        <f>GETPIVOTDATA("Purchase_Flag (Sum)",$B$3,"Age_Group","Established Adults")/GETPIVOTDATA("Client_ID (Count)",$B$3,"Age_Group","Established Adults")</f>
        <v>0.46919431279620855</v>
      </c>
      <c r="J5" s="29">
        <f>GETPIVOTDATA("Total_Spent_Sum (€)",$B$3,"Age_Group","Established Adults")/GETPIVOTDATA("Purchase_Flag (Sum)",$B$3,"Age_Group","Established Adults")</f>
        <v>22.934646464646463</v>
      </c>
      <c r="K5" s="31">
        <f>GETPIVOTDATA("Contact_Cost_Sum (€)",$B$3,"Age_Group","Established Adults")/GETPIVOTDATA("Total_Spent_Sum (€)",$B$3,"Age_Group","Established Adults")</f>
        <v>0.56008509026526854</v>
      </c>
      <c r="L5" s="15"/>
      <c r="M5" s="15"/>
      <c r="N5" s="15"/>
      <c r="O5" s="15"/>
      <c r="P5" s="15"/>
      <c r="Q5" s="15"/>
      <c r="R5" s="15"/>
    </row>
    <row r="6" spans="2:18" x14ac:dyDescent="0.2">
      <c r="B6" s="15" t="s">
        <v>863</v>
      </c>
      <c r="C6" s="15">
        <v>28</v>
      </c>
      <c r="D6" s="15">
        <v>256.04999999999995</v>
      </c>
      <c r="E6" s="15">
        <v>640.60000000000014</v>
      </c>
      <c r="F6" s="15">
        <v>44</v>
      </c>
      <c r="G6" s="15"/>
      <c r="H6" s="33" t="s">
        <v>863</v>
      </c>
      <c r="I6" s="31">
        <f>GETPIVOTDATA("Purchase_Flag (Sum)",$B$3,"Age_Group","Mature Customers")/GETPIVOTDATA("Client_ID (Count)",$B$3,"Age_Group","Mature Customers")</f>
        <v>0.63636363636363635</v>
      </c>
      <c r="J6" s="29">
        <f>GETPIVOTDATA("Total_Spent_Sum (€)",$B$3,"Age_Group","Mature Customers")/GETPIVOTDATA("Purchase_Flag (Sum)",$B$3,"Age_Group","Mature Customers")</f>
        <v>22.878571428571433</v>
      </c>
      <c r="K6" s="31">
        <f>GETPIVOTDATA("Contact_Cost_Sum (€)",$B$3,"Age_Group","Mature Customers")/GETPIVOTDATA("Total_Spent_Sum (€)",$B$3,"Age_Group","Mature Customers")</f>
        <v>0.39970340305963142</v>
      </c>
      <c r="L6" s="15"/>
      <c r="M6" s="15"/>
      <c r="N6" s="15"/>
      <c r="O6" s="15"/>
      <c r="P6" s="15"/>
      <c r="Q6" s="15"/>
      <c r="R6" s="15"/>
    </row>
    <row r="7" spans="2:18" x14ac:dyDescent="0.2">
      <c r="B7" s="15" t="s">
        <v>860</v>
      </c>
      <c r="C7" s="15">
        <v>61</v>
      </c>
      <c r="D7" s="15">
        <v>677.54000000000019</v>
      </c>
      <c r="E7" s="15">
        <v>1011.8800000000001</v>
      </c>
      <c r="F7" s="15">
        <v>111</v>
      </c>
      <c r="G7" s="15"/>
      <c r="H7" s="33" t="s">
        <v>860</v>
      </c>
      <c r="I7" s="31">
        <f>GETPIVOTDATA("Purchase_Flag (Sum)",$B$3,"Age_Group","Young Adults")/GETPIVOTDATA("Client_ID (Count)",$B$3,"Age_Group","Young Adults")</f>
        <v>0.5495495495495496</v>
      </c>
      <c r="J7" s="29">
        <f>GETPIVOTDATA("Total_Spent_Sum (€)",$B$3,"Age_Group","Young Adults")/GETPIVOTDATA("Purchase_Flag (Sum)",$B$3,"Age_Group","Young Adults")</f>
        <v>16.588196721311476</v>
      </c>
      <c r="K7" s="31">
        <f>GETPIVOTDATA("Contact_Cost_Sum (€)",$B$3,"Age_Group","Young Adults")/GETPIVOTDATA("Total_Spent_Sum (€)",$B$3,"Age_Group","Young Adults")</f>
        <v>0.66958532632327961</v>
      </c>
      <c r="L7" s="15"/>
      <c r="M7" s="15"/>
      <c r="N7" s="15"/>
      <c r="O7" s="15"/>
      <c r="P7" s="15"/>
      <c r="Q7" s="15"/>
      <c r="R7" s="15"/>
    </row>
    <row r="8" spans="2:18" x14ac:dyDescent="0.2">
      <c r="B8" s="15" t="s">
        <v>894</v>
      </c>
      <c r="C8" s="15">
        <v>247</v>
      </c>
      <c r="D8" s="15">
        <v>3042.8100000000027</v>
      </c>
      <c r="E8" s="15">
        <v>4935.5599999999968</v>
      </c>
      <c r="F8" s="15">
        <v>500</v>
      </c>
      <c r="G8" s="15"/>
      <c r="H8" s="15"/>
      <c r="I8" s="15"/>
      <c r="J8" s="15"/>
      <c r="K8" s="15"/>
      <c r="L8" s="15"/>
      <c r="M8" s="15"/>
      <c r="N8" s="15"/>
      <c r="O8" s="15"/>
      <c r="P8" s="15"/>
      <c r="Q8" s="15"/>
      <c r="R8" s="15"/>
    </row>
    <row r="9" spans="2:18" x14ac:dyDescent="0.2">
      <c r="B9" s="15"/>
      <c r="C9" s="15"/>
      <c r="D9" s="15"/>
      <c r="E9" s="15"/>
      <c r="F9" s="15"/>
      <c r="G9" s="15"/>
      <c r="H9" s="15"/>
      <c r="I9" s="15"/>
      <c r="J9" s="15"/>
      <c r="K9" s="15"/>
      <c r="L9" s="15"/>
      <c r="M9" s="15"/>
      <c r="N9" s="15"/>
      <c r="O9" s="15"/>
      <c r="P9" s="15"/>
      <c r="Q9" s="15"/>
      <c r="R9" s="15"/>
    </row>
    <row r="10" spans="2:18" x14ac:dyDescent="0.2">
      <c r="B10" s="15"/>
      <c r="C10" s="15"/>
      <c r="D10" s="15"/>
      <c r="E10" s="15"/>
      <c r="F10" s="15"/>
      <c r="G10" s="15"/>
      <c r="H10" s="15"/>
      <c r="I10" s="15"/>
      <c r="J10" s="15"/>
      <c r="K10" s="15"/>
      <c r="L10" s="15"/>
      <c r="M10" s="15"/>
      <c r="N10" s="15"/>
      <c r="O10" s="15"/>
      <c r="P10" s="15"/>
      <c r="Q10" s="15"/>
      <c r="R10" s="15"/>
    </row>
    <row r="11" spans="2:18" x14ac:dyDescent="0.2">
      <c r="B11" s="15"/>
      <c r="C11" s="15"/>
      <c r="D11" s="15"/>
      <c r="E11" s="15"/>
      <c r="F11" s="15"/>
      <c r="G11" s="15"/>
      <c r="H11" s="15"/>
      <c r="I11" s="15"/>
      <c r="J11" s="15"/>
      <c r="K11" s="15"/>
      <c r="L11" s="15"/>
      <c r="M11" s="15"/>
      <c r="N11" s="15"/>
      <c r="O11" s="15"/>
      <c r="P11" s="15"/>
      <c r="Q11" s="15"/>
      <c r="R11" s="15"/>
    </row>
    <row r="12" spans="2:18" x14ac:dyDescent="0.2">
      <c r="B12" s="15"/>
      <c r="C12" s="15"/>
      <c r="D12" s="15"/>
      <c r="E12" s="15"/>
      <c r="F12" s="15"/>
      <c r="G12" s="15"/>
      <c r="H12" s="15"/>
      <c r="I12" s="15"/>
      <c r="J12" s="15"/>
      <c r="K12" s="15"/>
      <c r="L12" s="15"/>
      <c r="M12" s="15"/>
      <c r="N12" s="15"/>
      <c r="O12" s="15"/>
      <c r="P12" s="15"/>
      <c r="Q12" s="15"/>
      <c r="R12" s="15"/>
    </row>
    <row r="13" spans="2:18" x14ac:dyDescent="0.2">
      <c r="B13" s="15"/>
      <c r="C13" s="15"/>
      <c r="D13" s="15"/>
      <c r="E13" s="15"/>
      <c r="F13" s="15"/>
      <c r="G13" s="15"/>
      <c r="H13" s="15"/>
      <c r="I13" s="15"/>
      <c r="J13" s="15"/>
      <c r="K13" s="15"/>
      <c r="L13" s="15"/>
      <c r="M13" s="15"/>
      <c r="N13" s="15"/>
      <c r="O13" s="15"/>
      <c r="P13" s="15"/>
      <c r="Q13" s="15"/>
      <c r="R13" s="15"/>
    </row>
    <row r="14" spans="2:18" x14ac:dyDescent="0.2">
      <c r="B14" s="15"/>
      <c r="C14" s="15"/>
      <c r="D14" s="15"/>
      <c r="E14" s="15"/>
      <c r="F14" s="15"/>
      <c r="G14" s="15"/>
      <c r="H14" s="15"/>
      <c r="I14" s="15"/>
      <c r="J14" s="15"/>
      <c r="K14" s="15"/>
      <c r="L14" s="15"/>
      <c r="M14" s="15"/>
      <c r="N14" s="15"/>
      <c r="O14" s="15"/>
      <c r="P14" s="15"/>
      <c r="Q14" s="15"/>
      <c r="R14" s="15"/>
    </row>
    <row r="15" spans="2:18" x14ac:dyDescent="0.2">
      <c r="B15" s="15"/>
      <c r="C15" s="15"/>
      <c r="D15" s="15"/>
      <c r="E15" s="15"/>
      <c r="F15" s="15"/>
      <c r="G15" s="15"/>
      <c r="H15" s="15"/>
      <c r="I15" s="15"/>
      <c r="J15" s="15"/>
      <c r="K15" s="15"/>
      <c r="L15" s="15"/>
      <c r="M15" s="15"/>
      <c r="N15" s="15"/>
      <c r="O15" s="15"/>
      <c r="P15" s="15"/>
      <c r="Q15" s="15"/>
      <c r="R15" s="15"/>
    </row>
    <row r="16" spans="2:18" x14ac:dyDescent="0.2">
      <c r="B16" s="15"/>
      <c r="C16" s="15"/>
      <c r="D16" s="15"/>
      <c r="E16" s="15"/>
      <c r="F16" s="15"/>
      <c r="G16" s="15"/>
      <c r="H16" s="15"/>
      <c r="I16" s="15"/>
      <c r="J16" s="15"/>
      <c r="K16" s="15"/>
      <c r="L16" s="15"/>
      <c r="M16" s="15"/>
      <c r="N16" s="15"/>
      <c r="O16" s="15"/>
      <c r="P16" s="15"/>
      <c r="Q16" s="15"/>
      <c r="R16" s="15"/>
    </row>
    <row r="17" spans="2:18" x14ac:dyDescent="0.2">
      <c r="B17" s="15"/>
      <c r="C17" s="15"/>
      <c r="D17" s="15"/>
      <c r="E17" s="15"/>
      <c r="F17" s="15"/>
      <c r="G17" s="15"/>
      <c r="H17" s="15"/>
      <c r="I17" s="15"/>
      <c r="J17" s="15"/>
      <c r="K17" s="15"/>
      <c r="L17" s="15"/>
      <c r="M17" s="15"/>
      <c r="N17" s="15"/>
      <c r="O17" s="15"/>
      <c r="P17" s="15"/>
      <c r="Q17" s="15"/>
      <c r="R17" s="15"/>
    </row>
    <row r="18" spans="2:18" x14ac:dyDescent="0.2">
      <c r="B18" s="15"/>
      <c r="C18" s="15"/>
      <c r="D18" s="15"/>
      <c r="E18" s="15"/>
      <c r="F18" s="15"/>
      <c r="G18" s="15"/>
      <c r="H18" s="15"/>
      <c r="I18" s="15"/>
      <c r="J18" s="15"/>
      <c r="K18" s="15"/>
      <c r="L18" s="15"/>
      <c r="M18" s="15"/>
      <c r="N18" s="15"/>
      <c r="O18" s="15"/>
      <c r="P18" s="15"/>
      <c r="Q18" s="15"/>
      <c r="R18" s="15"/>
    </row>
    <row r="19" spans="2:18" x14ac:dyDescent="0.2">
      <c r="B19" s="15"/>
      <c r="C19" s="15"/>
      <c r="D19" s="15"/>
      <c r="E19" s="15"/>
      <c r="F19" s="15"/>
      <c r="G19" s="15"/>
      <c r="H19" s="15"/>
      <c r="I19" s="15"/>
      <c r="J19" s="15"/>
      <c r="K19" s="15"/>
      <c r="L19" s="15"/>
      <c r="M19" s="15"/>
      <c r="N19" s="15"/>
      <c r="O19" s="15"/>
      <c r="P19" s="15"/>
      <c r="Q19" s="15"/>
      <c r="R19" s="15"/>
    </row>
    <row r="20" spans="2:18" x14ac:dyDescent="0.2">
      <c r="B20" s="15"/>
      <c r="C20" s="15"/>
      <c r="D20" s="15"/>
      <c r="E20" s="15"/>
      <c r="F20" s="15"/>
      <c r="G20" s="15"/>
      <c r="H20" s="25"/>
      <c r="I20" s="15"/>
      <c r="J20" s="15"/>
      <c r="K20" s="15"/>
      <c r="L20" s="15"/>
      <c r="M20" s="15"/>
      <c r="N20" s="15"/>
      <c r="O20" s="15"/>
      <c r="P20" s="15"/>
      <c r="Q20" s="15"/>
      <c r="R20" s="15"/>
    </row>
    <row r="21" spans="2:18" x14ac:dyDescent="0.2">
      <c r="B21" s="15"/>
      <c r="C21" s="15"/>
      <c r="D21" s="15"/>
      <c r="E21" s="15"/>
      <c r="F21" s="15"/>
      <c r="G21" s="15"/>
      <c r="H21" s="15"/>
      <c r="I21" s="15"/>
      <c r="J21" s="15"/>
      <c r="K21" s="15"/>
      <c r="L21" s="15"/>
      <c r="M21" s="15"/>
      <c r="N21" s="15"/>
      <c r="O21" s="15"/>
      <c r="P21" s="15"/>
      <c r="Q21" s="15"/>
      <c r="R21" s="15"/>
    </row>
    <row r="22" spans="2:18" x14ac:dyDescent="0.2">
      <c r="B22" s="15"/>
      <c r="C22" s="15"/>
      <c r="D22" s="15"/>
      <c r="E22" s="15"/>
      <c r="F22" s="15"/>
      <c r="G22" s="15"/>
      <c r="H22" s="25"/>
      <c r="I22" s="15"/>
      <c r="J22" s="15"/>
      <c r="K22" s="15"/>
      <c r="L22" s="15"/>
      <c r="M22" s="15"/>
      <c r="N22" s="15"/>
      <c r="O22" s="15"/>
      <c r="P22" s="15"/>
      <c r="Q22" s="15"/>
      <c r="R22" s="15"/>
    </row>
    <row r="23" spans="2:18" x14ac:dyDescent="0.2">
      <c r="B23" s="15"/>
      <c r="C23" s="15"/>
      <c r="D23" s="15"/>
      <c r="E23" s="15"/>
      <c r="F23" s="15"/>
      <c r="G23" s="15"/>
      <c r="H23" s="15"/>
      <c r="I23" s="15"/>
      <c r="J23" s="15"/>
      <c r="K23" s="15"/>
      <c r="L23" s="15"/>
      <c r="M23" s="15"/>
      <c r="N23" s="15"/>
      <c r="O23" s="15"/>
      <c r="P23" s="15"/>
      <c r="Q23" s="15"/>
      <c r="R23" s="15"/>
    </row>
    <row r="24" spans="2:18" x14ac:dyDescent="0.2">
      <c r="B24" s="15"/>
      <c r="C24" s="15"/>
      <c r="D24" s="15"/>
      <c r="E24" s="15"/>
      <c r="F24" s="15"/>
      <c r="G24" s="15"/>
      <c r="H24" s="25"/>
      <c r="I24" s="15"/>
      <c r="J24" s="15"/>
      <c r="K24" s="15"/>
      <c r="L24" s="15"/>
      <c r="M24" s="15"/>
      <c r="N24" s="15"/>
      <c r="O24" s="15"/>
      <c r="P24" s="15"/>
      <c r="Q24" s="15"/>
      <c r="R24" s="15"/>
    </row>
    <row r="25" spans="2:18" x14ac:dyDescent="0.2">
      <c r="B25" s="15"/>
      <c r="C25" s="15"/>
      <c r="D25" s="15"/>
      <c r="E25" s="15"/>
      <c r="F25" s="15"/>
      <c r="G25" s="15"/>
      <c r="H25" s="15"/>
      <c r="I25" s="15"/>
      <c r="J25" s="15"/>
      <c r="K25" s="15"/>
      <c r="L25" s="15"/>
      <c r="M25" s="15"/>
      <c r="N25" s="15"/>
      <c r="O25" s="15"/>
      <c r="P25" s="15"/>
      <c r="Q25" s="15"/>
      <c r="R25" s="15"/>
    </row>
    <row r="26" spans="2:18" x14ac:dyDescent="0.2">
      <c r="B26" s="15"/>
      <c r="C26" s="15"/>
      <c r="D26" s="15"/>
      <c r="E26" s="15"/>
      <c r="F26" s="15"/>
      <c r="G26" s="15"/>
      <c r="H26" s="25"/>
      <c r="I26" s="15"/>
      <c r="J26" s="15"/>
      <c r="K26" s="15"/>
      <c r="L26" s="15"/>
      <c r="M26" s="15"/>
      <c r="N26" s="15"/>
      <c r="O26" s="15"/>
      <c r="P26" s="15"/>
      <c r="Q26" s="15"/>
      <c r="R26" s="15"/>
    </row>
    <row r="27" spans="2:18" x14ac:dyDescent="0.2">
      <c r="B27" s="15"/>
      <c r="C27" s="15"/>
      <c r="D27" s="15"/>
      <c r="E27" s="15"/>
      <c r="F27" s="15"/>
      <c r="G27" s="15"/>
      <c r="H27" s="15"/>
      <c r="I27" s="15"/>
      <c r="J27" s="15"/>
      <c r="K27" s="15"/>
      <c r="L27" s="15"/>
      <c r="M27" s="15"/>
      <c r="N27" s="15"/>
      <c r="O27" s="15"/>
      <c r="P27" s="15"/>
      <c r="Q27" s="15"/>
      <c r="R27" s="15"/>
    </row>
    <row r="28" spans="2:18" x14ac:dyDescent="0.2">
      <c r="B28" s="15"/>
      <c r="C28" s="15"/>
      <c r="D28" s="15"/>
      <c r="E28" s="15"/>
      <c r="F28" s="15"/>
      <c r="G28" s="15"/>
      <c r="H28" s="15"/>
      <c r="I28" s="15"/>
      <c r="J28" s="15"/>
      <c r="K28" s="15"/>
      <c r="L28" s="15"/>
      <c r="M28" s="15"/>
      <c r="N28" s="15"/>
      <c r="O28" s="15"/>
      <c r="P28" s="15"/>
      <c r="Q28" s="15"/>
      <c r="R28" s="15"/>
    </row>
    <row r="29" spans="2:18" x14ac:dyDescent="0.2">
      <c r="B29" s="15"/>
      <c r="C29" s="15"/>
      <c r="D29" s="15"/>
      <c r="E29" s="15"/>
      <c r="F29" s="15"/>
      <c r="G29" s="15"/>
      <c r="H29" s="15"/>
      <c r="I29" s="15"/>
      <c r="J29" s="15"/>
      <c r="K29" s="15"/>
      <c r="L29" s="15"/>
      <c r="M29" s="15"/>
      <c r="N29" s="15"/>
      <c r="O29" s="15"/>
      <c r="P29" s="15"/>
      <c r="Q29" s="15"/>
      <c r="R29" s="15"/>
    </row>
    <row r="30" spans="2:18" x14ac:dyDescent="0.2">
      <c r="B30" s="15"/>
      <c r="C30" s="15"/>
      <c r="D30" s="15"/>
      <c r="E30" s="15"/>
      <c r="F30" s="15"/>
      <c r="G30" s="15"/>
      <c r="H30" s="15"/>
      <c r="I30" s="15"/>
      <c r="J30" s="15"/>
      <c r="K30" s="15"/>
      <c r="L30" s="15"/>
      <c r="M30" s="15"/>
      <c r="N30" s="15"/>
      <c r="O30" s="15"/>
      <c r="P30" s="15"/>
      <c r="Q30" s="15"/>
      <c r="R30" s="15"/>
    </row>
    <row r="31" spans="2:18" x14ac:dyDescent="0.2">
      <c r="B31" s="15"/>
      <c r="C31" s="15"/>
      <c r="D31" s="15"/>
      <c r="E31" s="15"/>
      <c r="F31" s="15"/>
      <c r="G31" s="15"/>
      <c r="H31" s="15"/>
      <c r="I31" s="15"/>
      <c r="J31" s="15"/>
      <c r="K31" s="15"/>
      <c r="L31" s="15"/>
      <c r="M31" s="15"/>
      <c r="N31" s="15"/>
      <c r="O31" s="15"/>
      <c r="P31" s="15"/>
      <c r="Q31" s="15"/>
      <c r="R31" s="15"/>
    </row>
    <row r="32" spans="2:18" x14ac:dyDescent="0.2">
      <c r="B32" s="15"/>
      <c r="C32" s="15"/>
      <c r="D32" s="15"/>
      <c r="E32" s="15"/>
      <c r="F32" s="15"/>
      <c r="G32" s="15"/>
      <c r="H32" s="15"/>
      <c r="I32" s="15"/>
      <c r="J32" s="15"/>
      <c r="K32" s="15"/>
      <c r="L32" s="15"/>
      <c r="M32" s="15"/>
      <c r="N32" s="15"/>
      <c r="O32" s="15"/>
      <c r="P32" s="15"/>
      <c r="Q32" s="15"/>
      <c r="R32" s="15"/>
    </row>
    <row r="33" spans="2:18" x14ac:dyDescent="0.2">
      <c r="B33" s="15"/>
      <c r="C33" s="15"/>
      <c r="D33" s="15"/>
      <c r="E33" s="15"/>
      <c r="F33" s="15"/>
      <c r="G33" s="15"/>
      <c r="H33" s="15"/>
      <c r="I33" s="15"/>
      <c r="J33" s="15"/>
      <c r="K33" s="15"/>
      <c r="L33" s="15"/>
      <c r="M33" s="15"/>
      <c r="N33" s="15"/>
      <c r="O33" s="15"/>
      <c r="P33" s="15"/>
      <c r="Q33" s="15"/>
      <c r="R33" s="15"/>
    </row>
    <row r="34" spans="2:18" x14ac:dyDescent="0.2">
      <c r="B34" s="15"/>
      <c r="C34" s="15"/>
      <c r="D34" s="15"/>
      <c r="E34" s="15"/>
      <c r="F34" s="15"/>
      <c r="G34" s="15"/>
      <c r="H34" s="15"/>
      <c r="I34" s="15"/>
      <c r="J34" s="15"/>
      <c r="K34" s="15"/>
      <c r="L34" s="15"/>
      <c r="M34" s="15"/>
      <c r="N34" s="15"/>
      <c r="O34" s="15"/>
      <c r="P34" s="15"/>
      <c r="Q34" s="15"/>
      <c r="R34" s="15"/>
    </row>
    <row r="35" spans="2:18" x14ac:dyDescent="0.2">
      <c r="B35" s="15"/>
      <c r="C35" s="15"/>
      <c r="D35" s="15"/>
      <c r="E35" s="15"/>
      <c r="F35" s="15"/>
      <c r="G35" s="15"/>
      <c r="H35" s="15"/>
      <c r="I35" s="15"/>
      <c r="J35" s="15"/>
      <c r="K35" s="15"/>
      <c r="L35" s="15"/>
      <c r="M35" s="15"/>
      <c r="N35" s="15"/>
      <c r="O35" s="15"/>
      <c r="P35" s="15"/>
      <c r="Q35" s="15"/>
      <c r="R35" s="15"/>
    </row>
    <row r="36" spans="2:18" x14ac:dyDescent="0.2">
      <c r="B36" s="15"/>
      <c r="C36" s="15"/>
      <c r="D36" s="15"/>
      <c r="E36" s="15"/>
      <c r="F36" s="15"/>
      <c r="G36" s="15"/>
      <c r="H36" s="15"/>
      <c r="I36" s="15"/>
      <c r="J36" s="15"/>
      <c r="K36" s="15"/>
      <c r="L36" s="15"/>
      <c r="M36" s="15"/>
      <c r="N36" s="15"/>
      <c r="O36" s="15"/>
      <c r="P36" s="15"/>
      <c r="Q36" s="15"/>
      <c r="R36" s="15"/>
    </row>
    <row r="37" spans="2:18" x14ac:dyDescent="0.2">
      <c r="B37" s="15"/>
      <c r="C37" s="15"/>
      <c r="D37" s="15"/>
      <c r="E37" s="15"/>
      <c r="F37" s="15"/>
      <c r="G37" s="15"/>
      <c r="H37" s="15"/>
      <c r="I37" s="15"/>
      <c r="J37" s="15"/>
      <c r="K37" s="15"/>
      <c r="L37" s="15"/>
      <c r="M37" s="15"/>
      <c r="N37" s="15"/>
      <c r="O37" s="15"/>
      <c r="P37" s="15"/>
      <c r="Q37" s="15"/>
      <c r="R37" s="15"/>
    </row>
    <row r="38" spans="2:18" ht="19" x14ac:dyDescent="0.25">
      <c r="B38" s="15"/>
      <c r="C38" s="15"/>
      <c r="D38" s="15"/>
      <c r="E38" s="15"/>
      <c r="F38" s="15"/>
      <c r="G38" s="15"/>
      <c r="H38" s="28" t="s">
        <v>895</v>
      </c>
      <c r="I38" s="15"/>
      <c r="J38" s="15"/>
      <c r="K38" s="15"/>
      <c r="L38" s="15"/>
      <c r="M38" s="15"/>
      <c r="N38" s="15"/>
      <c r="O38" s="15"/>
      <c r="P38" s="15"/>
      <c r="Q38" s="15"/>
      <c r="R38" s="15"/>
    </row>
    <row r="39" spans="2:18" x14ac:dyDescent="0.2">
      <c r="B39" s="15"/>
      <c r="C39" s="15"/>
      <c r="D39" s="15"/>
      <c r="E39" s="15"/>
      <c r="F39" s="15"/>
      <c r="G39" s="15"/>
      <c r="H39" s="15" t="s">
        <v>913</v>
      </c>
      <c r="I39" s="15"/>
      <c r="J39" s="15"/>
      <c r="K39" s="15"/>
      <c r="L39" s="15"/>
      <c r="M39" s="15"/>
      <c r="N39" s="15"/>
      <c r="O39" s="15"/>
      <c r="P39" s="15"/>
      <c r="Q39" s="15"/>
      <c r="R39" s="15"/>
    </row>
    <row r="40" spans="2:18" x14ac:dyDescent="0.2">
      <c r="B40" s="15"/>
      <c r="C40" s="15"/>
      <c r="D40" s="15"/>
      <c r="E40" s="15"/>
      <c r="F40" s="15"/>
      <c r="G40" s="15"/>
      <c r="H40" s="15" t="s">
        <v>914</v>
      </c>
      <c r="I40" s="15"/>
      <c r="J40" s="15"/>
      <c r="K40" s="15"/>
      <c r="L40" s="15"/>
      <c r="M40" s="15"/>
      <c r="N40" s="15"/>
      <c r="O40" s="15"/>
      <c r="P40" s="15"/>
      <c r="Q40" s="15"/>
      <c r="R40" s="15"/>
    </row>
    <row r="41" spans="2:18" x14ac:dyDescent="0.2">
      <c r="B41" s="15"/>
      <c r="C41" s="15"/>
      <c r="D41" s="15"/>
      <c r="E41" s="15"/>
      <c r="F41" s="15"/>
      <c r="G41" s="15"/>
      <c r="H41" s="15" t="s">
        <v>915</v>
      </c>
      <c r="I41" s="15"/>
      <c r="J41" s="15"/>
      <c r="K41" s="15"/>
      <c r="L41" s="15"/>
      <c r="M41" s="15"/>
      <c r="N41" s="15"/>
      <c r="O41" s="15"/>
      <c r="P41" s="15"/>
      <c r="Q41" s="15"/>
      <c r="R41" s="15"/>
    </row>
    <row r="42" spans="2:18" x14ac:dyDescent="0.2">
      <c r="B42" s="15"/>
      <c r="C42" s="15"/>
      <c r="D42" s="15"/>
      <c r="E42" s="15"/>
      <c r="F42" s="15"/>
      <c r="G42" s="15"/>
      <c r="H42" s="15" t="s">
        <v>916</v>
      </c>
      <c r="I42" s="15"/>
      <c r="J42" s="15"/>
      <c r="K42" s="15"/>
      <c r="L42" s="15"/>
      <c r="M42" s="15"/>
      <c r="N42" s="15"/>
      <c r="O42" s="15"/>
      <c r="P42" s="15"/>
      <c r="Q42" s="15"/>
      <c r="R42" s="15"/>
    </row>
    <row r="43" spans="2:18" x14ac:dyDescent="0.2">
      <c r="B43" s="15"/>
      <c r="C43" s="15"/>
      <c r="D43" s="15"/>
      <c r="E43" s="15"/>
      <c r="F43" s="15"/>
      <c r="G43" s="15"/>
      <c r="H43" s="15"/>
      <c r="I43" s="15"/>
      <c r="J43" s="15"/>
      <c r="K43" s="15"/>
      <c r="L43" s="15"/>
      <c r="M43" s="15"/>
      <c r="N43" s="15"/>
      <c r="O43" s="15"/>
      <c r="P43" s="15"/>
      <c r="Q43" s="15"/>
      <c r="R43" s="15"/>
    </row>
    <row r="44" spans="2:18" x14ac:dyDescent="0.2">
      <c r="B44" s="15"/>
      <c r="C44" s="15"/>
      <c r="D44" s="15"/>
      <c r="E44" s="15"/>
      <c r="F44" s="15"/>
      <c r="G44" s="15"/>
      <c r="H44" s="15"/>
      <c r="I44" s="15"/>
      <c r="J44" s="15"/>
      <c r="K44" s="15"/>
      <c r="L44" s="15"/>
      <c r="M44" s="15"/>
      <c r="N44" s="15"/>
      <c r="O44" s="15"/>
      <c r="P44" s="15"/>
      <c r="Q44" s="15"/>
      <c r="R44" s="15"/>
    </row>
    <row r="45" spans="2:18" ht="19" x14ac:dyDescent="0.25">
      <c r="B45" s="15"/>
      <c r="C45" s="15"/>
      <c r="D45" s="15"/>
      <c r="E45" s="15"/>
      <c r="F45" s="15"/>
      <c r="G45" s="15"/>
      <c r="H45" s="34" t="s">
        <v>912</v>
      </c>
      <c r="I45" s="15"/>
      <c r="J45" s="15"/>
      <c r="K45" s="15"/>
      <c r="L45" s="15"/>
      <c r="M45" s="15"/>
      <c r="N45" s="15"/>
      <c r="O45" s="15"/>
      <c r="P45" s="15"/>
      <c r="Q45" s="15"/>
      <c r="R45" s="15"/>
    </row>
    <row r="46" spans="2:18" x14ac:dyDescent="0.2">
      <c r="B46" s="15"/>
      <c r="C46" s="15"/>
      <c r="D46" s="15"/>
      <c r="E46" s="15"/>
      <c r="F46" s="15"/>
      <c r="G46" s="15"/>
      <c r="H46" s="50" t="s">
        <v>927</v>
      </c>
      <c r="I46" s="50"/>
      <c r="J46" s="50"/>
      <c r="K46" s="50"/>
      <c r="L46" s="50"/>
      <c r="M46" s="50"/>
      <c r="N46" s="50"/>
      <c r="O46" s="50"/>
      <c r="P46" s="50"/>
      <c r="Q46" s="15"/>
      <c r="R46" s="15"/>
    </row>
    <row r="47" spans="2:18" x14ac:dyDescent="0.2">
      <c r="B47" s="15"/>
      <c r="C47" s="15"/>
      <c r="D47" s="15"/>
      <c r="E47" s="15"/>
      <c r="F47" s="15"/>
      <c r="G47" s="15"/>
      <c r="H47" s="50"/>
      <c r="I47" s="50"/>
      <c r="J47" s="50"/>
      <c r="K47" s="50"/>
      <c r="L47" s="50"/>
      <c r="M47" s="50"/>
      <c r="N47" s="50"/>
      <c r="O47" s="50"/>
      <c r="P47" s="50"/>
      <c r="Q47" s="15"/>
      <c r="R47" s="15"/>
    </row>
    <row r="48" spans="2:18" x14ac:dyDescent="0.2">
      <c r="B48" s="15"/>
      <c r="C48" s="15"/>
      <c r="D48" s="15"/>
      <c r="E48" s="15"/>
      <c r="F48" s="15"/>
      <c r="G48" s="15"/>
      <c r="H48" s="15"/>
      <c r="I48" s="15"/>
      <c r="J48" s="15"/>
      <c r="K48" s="15"/>
      <c r="L48" s="15"/>
      <c r="M48" s="15"/>
      <c r="N48" s="15"/>
      <c r="O48" s="15"/>
      <c r="P48" s="15"/>
      <c r="Q48" s="15"/>
      <c r="R48" s="15"/>
    </row>
    <row r="49" spans="2:18" x14ac:dyDescent="0.2">
      <c r="B49" s="15"/>
      <c r="C49" s="15"/>
      <c r="D49" s="15"/>
      <c r="E49" s="15"/>
      <c r="F49" s="15"/>
      <c r="G49" s="15"/>
      <c r="H49" s="15"/>
      <c r="I49" s="15"/>
      <c r="J49" s="15"/>
      <c r="K49" s="15"/>
      <c r="L49" s="15"/>
      <c r="M49" s="15"/>
      <c r="N49" s="15"/>
      <c r="O49" s="15"/>
      <c r="P49" s="15"/>
      <c r="Q49" s="15"/>
      <c r="R49" s="15"/>
    </row>
    <row r="50" spans="2:18" x14ac:dyDescent="0.2">
      <c r="B50" s="15"/>
      <c r="C50" s="15"/>
      <c r="D50" s="15"/>
      <c r="E50" s="15"/>
      <c r="F50" s="15"/>
      <c r="G50" s="15"/>
      <c r="H50" s="15"/>
      <c r="I50" s="15"/>
      <c r="J50" s="15"/>
      <c r="K50" s="15"/>
      <c r="L50" s="15"/>
      <c r="M50" s="15"/>
      <c r="N50" s="15"/>
      <c r="O50" s="15"/>
      <c r="P50" s="15"/>
      <c r="Q50" s="15"/>
      <c r="R50" s="15"/>
    </row>
    <row r="51" spans="2:18" x14ac:dyDescent="0.2">
      <c r="B51" s="15"/>
      <c r="C51" s="15"/>
      <c r="D51" s="15"/>
      <c r="E51" s="15"/>
      <c r="F51" s="15"/>
      <c r="G51" s="15"/>
      <c r="H51" s="15"/>
      <c r="I51" s="15"/>
      <c r="J51" s="15"/>
      <c r="K51" s="15"/>
      <c r="L51" s="15"/>
      <c r="M51" s="15"/>
      <c r="N51" s="15"/>
      <c r="O51" s="15"/>
      <c r="P51" s="15"/>
      <c r="Q51" s="15"/>
      <c r="R51" s="15"/>
    </row>
    <row r="52" spans="2:18" x14ac:dyDescent="0.2">
      <c r="B52" s="15"/>
      <c r="C52" s="15"/>
      <c r="D52" s="15"/>
      <c r="E52" s="15"/>
      <c r="F52" s="15"/>
      <c r="G52" s="15"/>
      <c r="H52" s="15"/>
      <c r="I52" s="15"/>
      <c r="J52" s="15"/>
      <c r="K52" s="15"/>
      <c r="L52" s="15"/>
      <c r="M52" s="15"/>
      <c r="N52" s="15"/>
      <c r="O52" s="15"/>
      <c r="P52" s="15"/>
      <c r="Q52" s="15"/>
      <c r="R52" s="15"/>
    </row>
    <row r="53" spans="2:18" x14ac:dyDescent="0.2">
      <c r="B53" s="15"/>
      <c r="C53" s="15"/>
      <c r="D53" s="15"/>
      <c r="E53" s="15"/>
      <c r="F53" s="15"/>
      <c r="G53" s="15"/>
      <c r="H53" s="15"/>
      <c r="I53" s="15"/>
      <c r="J53" s="15"/>
      <c r="K53" s="15"/>
      <c r="L53" s="15"/>
      <c r="M53" s="15"/>
      <c r="N53" s="15"/>
      <c r="O53" s="15"/>
      <c r="P53" s="15"/>
      <c r="Q53" s="15"/>
      <c r="R53" s="15"/>
    </row>
    <row r="54" spans="2:18" x14ac:dyDescent="0.2">
      <c r="B54" s="15"/>
      <c r="C54" s="15"/>
      <c r="D54" s="15"/>
      <c r="E54" s="15"/>
      <c r="F54" s="15"/>
      <c r="G54" s="15"/>
      <c r="H54" s="15"/>
      <c r="I54" s="15"/>
      <c r="J54" s="15"/>
      <c r="K54" s="15"/>
      <c r="L54" s="15"/>
      <c r="M54" s="15"/>
      <c r="N54" s="15"/>
      <c r="O54" s="15"/>
      <c r="P54" s="15"/>
      <c r="Q54" s="15"/>
      <c r="R54" s="15"/>
    </row>
    <row r="55" spans="2:18" x14ac:dyDescent="0.2">
      <c r="B55" s="15"/>
      <c r="C55" s="15"/>
      <c r="D55" s="15"/>
      <c r="E55" s="15"/>
      <c r="F55" s="15"/>
      <c r="G55" s="15"/>
      <c r="H55" s="15"/>
      <c r="I55" s="15"/>
      <c r="J55" s="15"/>
      <c r="K55" s="15"/>
      <c r="L55" s="15"/>
      <c r="M55" s="15"/>
      <c r="N55" s="15"/>
      <c r="O55" s="15"/>
      <c r="P55" s="15"/>
      <c r="Q55" s="15"/>
      <c r="R55" s="15"/>
    </row>
    <row r="56" spans="2:18" x14ac:dyDescent="0.2">
      <c r="B56" s="15"/>
      <c r="C56" s="15"/>
      <c r="D56" s="15"/>
      <c r="E56" s="15"/>
      <c r="F56" s="15"/>
      <c r="G56" s="15"/>
      <c r="H56" s="15"/>
      <c r="I56" s="15"/>
      <c r="J56" s="15"/>
      <c r="K56" s="15"/>
      <c r="L56" s="15"/>
      <c r="M56" s="15"/>
      <c r="N56" s="15"/>
      <c r="O56" s="15"/>
      <c r="P56" s="15"/>
      <c r="Q56" s="15"/>
      <c r="R56" s="15"/>
    </row>
    <row r="57" spans="2:18" x14ac:dyDescent="0.2">
      <c r="B57" s="15"/>
      <c r="C57" s="15"/>
      <c r="D57" s="15"/>
      <c r="E57" s="15"/>
      <c r="F57" s="15"/>
      <c r="G57" s="15"/>
      <c r="H57" s="15"/>
      <c r="I57" s="15"/>
      <c r="J57" s="15"/>
      <c r="K57" s="15"/>
      <c r="L57" s="15"/>
      <c r="M57" s="15"/>
      <c r="N57" s="15"/>
      <c r="O57" s="15"/>
      <c r="P57" s="15"/>
      <c r="Q57" s="15"/>
      <c r="R57" s="15"/>
    </row>
    <row r="58" spans="2:18" x14ac:dyDescent="0.2">
      <c r="B58" s="15"/>
      <c r="C58" s="15"/>
      <c r="D58" s="15"/>
      <c r="E58" s="15"/>
      <c r="F58" s="15"/>
      <c r="G58" s="15"/>
      <c r="H58" s="15"/>
      <c r="I58" s="15"/>
      <c r="J58" s="15"/>
      <c r="K58" s="15"/>
      <c r="L58" s="15"/>
      <c r="M58" s="15"/>
      <c r="N58" s="15"/>
      <c r="O58" s="15"/>
      <c r="P58" s="15"/>
      <c r="Q58" s="15"/>
      <c r="R58" s="15"/>
    </row>
  </sheetData>
  <mergeCells count="1">
    <mergeCell ref="H46:P47"/>
  </mergeCells>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1A6E1D-C7B9-1644-ADB3-1C24A7206F81}">
  <dimension ref="A1:Z102"/>
  <sheetViews>
    <sheetView zoomScale="38" zoomScaleNormal="40" workbookViewId="0"/>
  </sheetViews>
  <sheetFormatPr baseColWidth="10" defaultRowHeight="16" x14ac:dyDescent="0.2"/>
  <cols>
    <col min="2" max="2" width="21.1640625" bestFit="1" customWidth="1"/>
    <col min="3" max="6" width="23.83203125" bestFit="1" customWidth="1"/>
    <col min="7" max="7" width="11.1640625" bestFit="1" customWidth="1"/>
    <col min="8" max="10" width="21.33203125" bestFit="1" customWidth="1"/>
    <col min="11" max="11" width="24" bestFit="1" customWidth="1"/>
    <col min="12" max="12" width="25.5" bestFit="1" customWidth="1"/>
    <col min="13" max="21" width="20" bestFit="1" customWidth="1"/>
    <col min="22" max="22" width="17.1640625" bestFit="1" customWidth="1"/>
  </cols>
  <sheetData>
    <row r="1" spans="1:26" x14ac:dyDescent="0.2">
      <c r="A1" s="15"/>
      <c r="B1" s="15"/>
      <c r="C1" s="15"/>
      <c r="D1" s="15"/>
      <c r="E1" s="15"/>
      <c r="F1" s="15"/>
      <c r="G1" s="15"/>
      <c r="H1" s="15"/>
      <c r="I1" s="15"/>
      <c r="J1" s="15"/>
      <c r="K1" s="15"/>
      <c r="L1" s="15"/>
      <c r="M1" s="15"/>
      <c r="N1" s="15"/>
      <c r="O1" s="15"/>
      <c r="P1" s="15"/>
      <c r="Q1" s="15"/>
      <c r="R1" s="15"/>
      <c r="S1" s="15"/>
      <c r="T1" s="15"/>
      <c r="U1" s="15"/>
      <c r="V1" s="15"/>
      <c r="W1" s="15"/>
      <c r="X1" s="15"/>
      <c r="Y1" s="15"/>
      <c r="Z1" s="15"/>
    </row>
    <row r="2" spans="1:26" x14ac:dyDescent="0.2">
      <c r="A2" s="15"/>
      <c r="B2" s="15"/>
      <c r="C2" s="15"/>
      <c r="D2" s="15"/>
      <c r="E2" s="15"/>
      <c r="F2" s="15"/>
      <c r="G2" s="15"/>
      <c r="H2" s="15"/>
      <c r="I2" s="15"/>
      <c r="J2" s="15"/>
      <c r="K2" s="15"/>
      <c r="L2" s="15"/>
      <c r="M2" s="15"/>
      <c r="N2" s="15"/>
      <c r="O2" s="15"/>
      <c r="P2" s="15"/>
      <c r="Q2" s="15"/>
      <c r="R2" s="15"/>
      <c r="S2" s="15"/>
      <c r="T2" s="15"/>
      <c r="U2" s="15"/>
      <c r="V2" s="15"/>
      <c r="W2" s="15"/>
      <c r="X2" s="15"/>
      <c r="Y2" s="15"/>
      <c r="Z2" s="15"/>
    </row>
    <row r="3" spans="1:26" x14ac:dyDescent="0.2">
      <c r="A3" s="15"/>
      <c r="B3" s="35" t="s">
        <v>852</v>
      </c>
      <c r="C3" s="24" t="s">
        <v>850</v>
      </c>
      <c r="D3" s="15"/>
      <c r="E3" s="15"/>
      <c r="F3" s="15"/>
      <c r="G3" s="15"/>
      <c r="H3" s="15"/>
      <c r="I3" s="15"/>
      <c r="J3" s="15"/>
      <c r="K3" s="15"/>
      <c r="L3" s="15"/>
      <c r="M3" s="15"/>
      <c r="N3" s="15"/>
      <c r="O3" s="15"/>
      <c r="P3" s="15"/>
      <c r="Q3" s="15"/>
      <c r="R3" s="15"/>
      <c r="S3" s="15"/>
      <c r="T3" s="15"/>
      <c r="U3" s="15"/>
      <c r="V3" s="15"/>
      <c r="W3" s="15"/>
      <c r="X3" s="15"/>
      <c r="Y3" s="15"/>
      <c r="Z3" s="15"/>
    </row>
    <row r="4" spans="1:26" x14ac:dyDescent="0.2">
      <c r="A4" s="15"/>
      <c r="B4" s="24" t="s">
        <v>835</v>
      </c>
      <c r="C4" s="15" t="s">
        <v>861</v>
      </c>
      <c r="D4" s="15" t="s">
        <v>862</v>
      </c>
      <c r="E4" s="15" t="s">
        <v>863</v>
      </c>
      <c r="F4" s="15" t="s">
        <v>860</v>
      </c>
      <c r="G4" s="15" t="s">
        <v>894</v>
      </c>
      <c r="H4" s="15"/>
      <c r="I4" s="15"/>
      <c r="J4" s="15"/>
      <c r="K4" s="15"/>
      <c r="L4" s="15"/>
      <c r="M4" s="15"/>
      <c r="N4" s="15"/>
      <c r="O4" s="15"/>
      <c r="P4" s="15"/>
      <c r="Q4" s="15"/>
      <c r="R4" s="15"/>
      <c r="S4" s="15"/>
      <c r="T4" s="15"/>
      <c r="U4" s="15"/>
      <c r="V4" s="15"/>
      <c r="W4" s="15"/>
      <c r="X4" s="15"/>
      <c r="Y4" s="15"/>
      <c r="Z4" s="15"/>
    </row>
    <row r="5" spans="1:26" x14ac:dyDescent="0.2">
      <c r="A5" s="15"/>
      <c r="B5" s="15" t="s">
        <v>847</v>
      </c>
      <c r="C5" s="36">
        <v>20.67</v>
      </c>
      <c r="D5" s="36">
        <v>221.98999999999998</v>
      </c>
      <c r="E5" s="36"/>
      <c r="F5" s="36">
        <v>146.12</v>
      </c>
      <c r="G5" s="36">
        <v>388.78</v>
      </c>
      <c r="H5" s="15"/>
      <c r="I5" s="15"/>
      <c r="J5" s="15"/>
      <c r="K5" s="15"/>
      <c r="L5" s="15"/>
      <c r="M5" s="15"/>
      <c r="N5" s="15"/>
      <c r="O5" s="15"/>
      <c r="P5" s="15"/>
      <c r="Q5" s="15"/>
      <c r="R5" s="15"/>
      <c r="S5" s="15"/>
      <c r="T5" s="15"/>
      <c r="U5" s="15"/>
      <c r="V5" s="15"/>
      <c r="W5" s="15"/>
      <c r="X5" s="15"/>
      <c r="Y5" s="15"/>
      <c r="Z5" s="15"/>
    </row>
    <row r="6" spans="1:26" x14ac:dyDescent="0.2">
      <c r="A6" s="15"/>
      <c r="B6" s="15" t="s">
        <v>61</v>
      </c>
      <c r="C6" s="36">
        <v>169.33</v>
      </c>
      <c r="D6" s="36">
        <v>62.45</v>
      </c>
      <c r="E6" s="36">
        <v>60.46</v>
      </c>
      <c r="F6" s="36">
        <v>89.839999999999989</v>
      </c>
      <c r="G6" s="36">
        <v>382.08</v>
      </c>
      <c r="H6" s="15"/>
      <c r="I6" s="15"/>
      <c r="J6" s="15"/>
      <c r="K6" s="15"/>
      <c r="L6" s="15"/>
      <c r="M6" s="15"/>
      <c r="N6" s="15"/>
      <c r="O6" s="15"/>
      <c r="P6" s="15"/>
      <c r="Q6" s="15"/>
      <c r="R6" s="15"/>
      <c r="S6" s="15"/>
      <c r="T6" s="15"/>
      <c r="U6" s="15"/>
      <c r="V6" s="15"/>
      <c r="W6" s="15"/>
      <c r="X6" s="15"/>
      <c r="Y6" s="15"/>
      <c r="Z6" s="15"/>
    </row>
    <row r="7" spans="1:26" x14ac:dyDescent="0.2">
      <c r="A7" s="15"/>
      <c r="B7" s="15" t="s">
        <v>841</v>
      </c>
      <c r="C7" s="36">
        <v>55.739999999999995</v>
      </c>
      <c r="D7" s="36">
        <v>253.88</v>
      </c>
      <c r="E7" s="36">
        <v>30.64</v>
      </c>
      <c r="F7" s="36">
        <v>38.549999999999997</v>
      </c>
      <c r="G7" s="36">
        <v>378.81</v>
      </c>
      <c r="H7" s="15"/>
      <c r="I7" s="15"/>
      <c r="J7" s="15"/>
      <c r="K7" s="15"/>
      <c r="L7" s="15"/>
      <c r="M7" s="15"/>
      <c r="N7" s="15"/>
      <c r="O7" s="15"/>
      <c r="P7" s="15"/>
      <c r="Q7" s="15"/>
      <c r="R7" s="15"/>
      <c r="S7" s="15"/>
      <c r="T7" s="15"/>
      <c r="U7" s="15"/>
      <c r="V7" s="15"/>
      <c r="W7" s="15"/>
      <c r="X7" s="15"/>
      <c r="Y7" s="15"/>
      <c r="Z7" s="15"/>
    </row>
    <row r="8" spans="1:26" x14ac:dyDescent="0.2">
      <c r="A8" s="15"/>
      <c r="B8" s="15" t="s">
        <v>846</v>
      </c>
      <c r="C8" s="36">
        <v>19.670000000000002</v>
      </c>
      <c r="D8" s="36">
        <v>163.59</v>
      </c>
      <c r="E8" s="36">
        <v>129.26999999999998</v>
      </c>
      <c r="F8" s="36">
        <v>62.949999999999996</v>
      </c>
      <c r="G8" s="36">
        <v>375.47999999999996</v>
      </c>
      <c r="H8" s="15"/>
      <c r="I8" s="15"/>
      <c r="J8" s="15"/>
      <c r="K8" s="15"/>
      <c r="L8" s="15"/>
      <c r="M8" s="15"/>
      <c r="N8" s="15"/>
      <c r="O8" s="15"/>
      <c r="P8" s="15"/>
      <c r="Q8" s="15"/>
      <c r="R8" s="15"/>
      <c r="S8" s="15"/>
      <c r="T8" s="15"/>
      <c r="U8" s="15"/>
      <c r="V8" s="15"/>
      <c r="W8" s="15"/>
      <c r="X8" s="15"/>
      <c r="Y8" s="15"/>
      <c r="Z8" s="15"/>
    </row>
    <row r="9" spans="1:26" x14ac:dyDescent="0.2">
      <c r="A9" s="15"/>
      <c r="B9" s="15" t="s">
        <v>9</v>
      </c>
      <c r="C9" s="36">
        <v>81.11</v>
      </c>
      <c r="D9" s="36">
        <v>135.46</v>
      </c>
      <c r="E9" s="36">
        <v>104.29</v>
      </c>
      <c r="F9" s="36">
        <v>18.05</v>
      </c>
      <c r="G9" s="36">
        <v>338.91</v>
      </c>
      <c r="H9" s="15"/>
      <c r="I9" s="15"/>
      <c r="J9" s="15"/>
      <c r="K9" s="15"/>
      <c r="L9" s="15"/>
      <c r="M9" s="15"/>
      <c r="N9" s="15"/>
      <c r="O9" s="15"/>
      <c r="P9" s="15"/>
      <c r="Q9" s="15"/>
      <c r="R9" s="15"/>
      <c r="S9" s="15"/>
      <c r="T9" s="15"/>
      <c r="U9" s="15"/>
      <c r="V9" s="15"/>
      <c r="W9" s="15"/>
      <c r="X9" s="15"/>
      <c r="Y9" s="15"/>
      <c r="Z9" s="15"/>
    </row>
    <row r="10" spans="1:26" x14ac:dyDescent="0.2">
      <c r="A10" s="15"/>
      <c r="B10" s="15" t="s">
        <v>38</v>
      </c>
      <c r="C10" s="36">
        <v>26.42</v>
      </c>
      <c r="D10" s="36">
        <v>159.15</v>
      </c>
      <c r="E10" s="36">
        <v>36.18</v>
      </c>
      <c r="F10" s="36">
        <v>96.76</v>
      </c>
      <c r="G10" s="36">
        <v>318.51</v>
      </c>
      <c r="H10" s="15"/>
      <c r="I10" s="15"/>
      <c r="J10" s="15"/>
      <c r="K10" s="15"/>
      <c r="L10" s="15"/>
      <c r="M10" s="15"/>
      <c r="N10" s="15"/>
      <c r="O10" s="15"/>
      <c r="P10" s="15"/>
      <c r="Q10" s="15"/>
      <c r="R10" s="15"/>
      <c r="S10" s="15"/>
      <c r="T10" s="15"/>
      <c r="U10" s="15"/>
      <c r="V10" s="15"/>
      <c r="W10" s="15"/>
      <c r="X10" s="15"/>
      <c r="Y10" s="15"/>
      <c r="Z10" s="15"/>
    </row>
    <row r="11" spans="1:26" x14ac:dyDescent="0.2">
      <c r="A11" s="15"/>
      <c r="B11" s="15" t="s">
        <v>842</v>
      </c>
      <c r="C11" s="36">
        <v>17.59</v>
      </c>
      <c r="D11" s="36">
        <v>143.26000000000002</v>
      </c>
      <c r="E11" s="36">
        <v>61.57</v>
      </c>
      <c r="F11" s="36">
        <v>60.39</v>
      </c>
      <c r="G11" s="36">
        <v>282.81</v>
      </c>
      <c r="H11" s="15"/>
      <c r="I11" s="15"/>
      <c r="J11" s="15"/>
      <c r="K11" s="15"/>
      <c r="L11" s="15"/>
      <c r="M11" s="15"/>
      <c r="N11" s="15"/>
      <c r="O11" s="15"/>
      <c r="P11" s="15"/>
      <c r="Q11" s="15"/>
      <c r="R11" s="15"/>
      <c r="S11" s="15"/>
      <c r="T11" s="15"/>
      <c r="U11" s="15"/>
      <c r="V11" s="15"/>
      <c r="W11" s="15"/>
      <c r="X11" s="15"/>
      <c r="Y11" s="15"/>
      <c r="Z11" s="15"/>
    </row>
    <row r="12" spans="1:26" x14ac:dyDescent="0.2">
      <c r="A12" s="15"/>
      <c r="B12" s="15" t="s">
        <v>840</v>
      </c>
      <c r="C12" s="36">
        <v>71.100000000000009</v>
      </c>
      <c r="D12" s="36">
        <v>137.27000000000001</v>
      </c>
      <c r="E12" s="36"/>
      <c r="F12" s="36">
        <v>70.259999999999991</v>
      </c>
      <c r="G12" s="36">
        <v>278.63</v>
      </c>
      <c r="H12" s="15"/>
      <c r="I12" s="15"/>
      <c r="J12" s="15"/>
      <c r="K12" s="15"/>
      <c r="L12" s="15"/>
      <c r="M12" s="15"/>
      <c r="N12" s="15"/>
      <c r="O12" s="15"/>
      <c r="P12" s="15"/>
      <c r="Q12" s="15"/>
      <c r="R12" s="15"/>
      <c r="S12" s="15"/>
      <c r="T12" s="15"/>
      <c r="U12" s="15"/>
      <c r="V12" s="15"/>
      <c r="W12" s="15"/>
      <c r="X12" s="15"/>
      <c r="Y12" s="15"/>
      <c r="Z12" s="15"/>
    </row>
    <row r="13" spans="1:26" x14ac:dyDescent="0.2">
      <c r="A13" s="15"/>
      <c r="B13" s="15" t="s">
        <v>30</v>
      </c>
      <c r="C13" s="36"/>
      <c r="D13" s="36">
        <v>90.22</v>
      </c>
      <c r="E13" s="36">
        <v>94.22999999999999</v>
      </c>
      <c r="F13" s="36">
        <v>67.239999999999995</v>
      </c>
      <c r="G13" s="36">
        <v>251.69</v>
      </c>
      <c r="H13" s="15"/>
      <c r="I13" s="15"/>
      <c r="J13" s="15"/>
      <c r="K13" s="15"/>
      <c r="L13" s="15"/>
      <c r="M13" s="15"/>
      <c r="N13" s="15"/>
      <c r="O13" s="15"/>
      <c r="P13" s="15"/>
      <c r="Q13" s="15"/>
      <c r="R13" s="15"/>
      <c r="S13" s="15"/>
      <c r="T13" s="15"/>
      <c r="U13" s="15"/>
      <c r="V13" s="15"/>
      <c r="W13" s="15"/>
      <c r="X13" s="15"/>
      <c r="Y13" s="15"/>
      <c r="Z13" s="15"/>
    </row>
    <row r="14" spans="1:26" x14ac:dyDescent="0.2">
      <c r="A14" s="15"/>
      <c r="B14" s="15" t="s">
        <v>20</v>
      </c>
      <c r="C14" s="36">
        <v>49.07</v>
      </c>
      <c r="D14" s="36">
        <v>99.67</v>
      </c>
      <c r="E14" s="36">
        <v>22.2</v>
      </c>
      <c r="F14" s="36">
        <v>64.38</v>
      </c>
      <c r="G14" s="36">
        <v>235.32</v>
      </c>
      <c r="H14" s="15"/>
      <c r="I14" s="15"/>
      <c r="J14" s="15"/>
      <c r="K14" s="15"/>
      <c r="L14" s="15"/>
      <c r="M14" s="15"/>
      <c r="N14" s="15"/>
      <c r="O14" s="15"/>
      <c r="P14" s="15"/>
      <c r="Q14" s="15"/>
      <c r="R14" s="15"/>
      <c r="S14" s="15"/>
      <c r="T14" s="15"/>
      <c r="U14" s="15"/>
      <c r="V14" s="15"/>
      <c r="W14" s="15"/>
      <c r="X14" s="15"/>
      <c r="Y14" s="15"/>
      <c r="Z14" s="15"/>
    </row>
    <row r="15" spans="1:26" x14ac:dyDescent="0.2">
      <c r="A15" s="15"/>
      <c r="B15" s="15" t="s">
        <v>152</v>
      </c>
      <c r="C15" s="36">
        <v>57.830000000000005</v>
      </c>
      <c r="D15" s="36">
        <v>140.33000000000001</v>
      </c>
      <c r="E15" s="36"/>
      <c r="F15" s="36">
        <v>20.13</v>
      </c>
      <c r="G15" s="36">
        <v>218.29000000000002</v>
      </c>
      <c r="H15" s="15"/>
      <c r="I15" s="15"/>
      <c r="J15" s="15"/>
      <c r="K15" s="15"/>
      <c r="L15" s="15"/>
      <c r="M15" s="15"/>
      <c r="N15" s="15"/>
      <c r="O15" s="15"/>
      <c r="P15" s="15"/>
      <c r="Q15" s="15"/>
      <c r="R15" s="15"/>
      <c r="S15" s="15"/>
      <c r="T15" s="15"/>
      <c r="U15" s="15"/>
      <c r="V15" s="15"/>
      <c r="W15" s="15"/>
      <c r="X15" s="15"/>
      <c r="Y15" s="15"/>
      <c r="Z15" s="15"/>
    </row>
    <row r="16" spans="1:26" x14ac:dyDescent="0.2">
      <c r="A16" s="15"/>
      <c r="B16" s="15" t="s">
        <v>844</v>
      </c>
      <c r="C16" s="36">
        <v>119.72</v>
      </c>
      <c r="D16" s="36">
        <v>32.119999999999997</v>
      </c>
      <c r="E16" s="36">
        <v>13.75</v>
      </c>
      <c r="F16" s="36">
        <v>32.510000000000005</v>
      </c>
      <c r="G16" s="36">
        <v>198.10000000000002</v>
      </c>
      <c r="H16" s="15"/>
      <c r="I16" s="15"/>
      <c r="J16" s="15"/>
      <c r="K16" s="15"/>
      <c r="L16" s="15"/>
      <c r="M16" s="15"/>
      <c r="N16" s="15"/>
      <c r="O16" s="15"/>
      <c r="P16" s="15"/>
      <c r="Q16" s="15"/>
      <c r="R16" s="15"/>
      <c r="S16" s="15"/>
      <c r="T16" s="15"/>
      <c r="U16" s="15"/>
      <c r="V16" s="15"/>
      <c r="W16" s="15"/>
      <c r="X16" s="15"/>
      <c r="Y16" s="15"/>
      <c r="Z16" s="15"/>
    </row>
    <row r="17" spans="1:26" x14ac:dyDescent="0.2">
      <c r="A17" s="15"/>
      <c r="B17" s="15" t="s">
        <v>86</v>
      </c>
      <c r="C17" s="36">
        <v>62.589999999999996</v>
      </c>
      <c r="D17" s="36">
        <v>69.08</v>
      </c>
      <c r="E17" s="36">
        <v>20.059999999999999</v>
      </c>
      <c r="F17" s="36">
        <v>43.430000000000007</v>
      </c>
      <c r="G17" s="36">
        <v>195.16</v>
      </c>
      <c r="H17" s="15"/>
      <c r="I17" s="15"/>
      <c r="J17" s="15"/>
      <c r="K17" s="15"/>
      <c r="L17" s="15"/>
      <c r="M17" s="15"/>
      <c r="N17" s="15"/>
      <c r="O17" s="15"/>
      <c r="P17" s="15"/>
      <c r="Q17" s="15"/>
      <c r="R17" s="15"/>
      <c r="S17" s="15"/>
      <c r="T17" s="15"/>
      <c r="U17" s="15"/>
      <c r="V17" s="15"/>
      <c r="W17" s="15"/>
      <c r="X17" s="15"/>
      <c r="Y17" s="15"/>
      <c r="Z17" s="15"/>
    </row>
    <row r="18" spans="1:26" x14ac:dyDescent="0.2">
      <c r="A18" s="15"/>
      <c r="B18" s="15" t="s">
        <v>845</v>
      </c>
      <c r="C18" s="36">
        <v>83.33</v>
      </c>
      <c r="D18" s="36">
        <v>43.43</v>
      </c>
      <c r="E18" s="36"/>
      <c r="F18" s="36">
        <v>65.44</v>
      </c>
      <c r="G18" s="36">
        <v>192.2</v>
      </c>
      <c r="H18" s="15"/>
      <c r="I18" s="15"/>
      <c r="J18" s="15"/>
      <c r="K18" s="15"/>
      <c r="L18" s="15"/>
      <c r="M18" s="15"/>
      <c r="N18" s="15"/>
      <c r="O18" s="15"/>
      <c r="P18" s="15"/>
      <c r="Q18" s="15"/>
      <c r="R18" s="15"/>
      <c r="S18" s="15"/>
      <c r="T18" s="15"/>
      <c r="U18" s="15"/>
      <c r="V18" s="15"/>
      <c r="W18" s="15"/>
      <c r="X18" s="15"/>
      <c r="Y18" s="15"/>
      <c r="Z18" s="15"/>
    </row>
    <row r="19" spans="1:26" x14ac:dyDescent="0.2">
      <c r="A19" s="15"/>
      <c r="B19" s="15" t="s">
        <v>17</v>
      </c>
      <c r="C19" s="36">
        <v>38.239999999999995</v>
      </c>
      <c r="D19" s="36">
        <v>77.580000000000013</v>
      </c>
      <c r="E19" s="36">
        <v>28.23</v>
      </c>
      <c r="F19" s="36">
        <v>40.04</v>
      </c>
      <c r="G19" s="36">
        <v>184.09</v>
      </c>
      <c r="H19" s="15"/>
      <c r="I19" s="15"/>
      <c r="J19" s="15"/>
      <c r="K19" s="15"/>
      <c r="L19" s="15"/>
      <c r="M19" s="15"/>
      <c r="N19" s="15"/>
      <c r="O19" s="15"/>
      <c r="P19" s="15"/>
      <c r="Q19" s="15"/>
      <c r="R19" s="15"/>
      <c r="S19" s="15"/>
      <c r="T19" s="15"/>
      <c r="U19" s="15"/>
      <c r="V19" s="15"/>
      <c r="W19" s="15"/>
      <c r="X19" s="15"/>
      <c r="Y19" s="15"/>
      <c r="Z19" s="15"/>
    </row>
    <row r="20" spans="1:26" x14ac:dyDescent="0.2">
      <c r="A20" s="15"/>
      <c r="B20" s="15" t="s">
        <v>13</v>
      </c>
      <c r="C20" s="36">
        <v>43.75</v>
      </c>
      <c r="D20" s="36">
        <v>126.79</v>
      </c>
      <c r="E20" s="36"/>
      <c r="F20" s="36"/>
      <c r="G20" s="36">
        <v>170.54000000000002</v>
      </c>
      <c r="H20" s="15"/>
      <c r="I20" s="15"/>
      <c r="J20" s="15"/>
      <c r="K20" s="15"/>
      <c r="L20" s="15"/>
      <c r="M20" s="15"/>
      <c r="N20" s="15"/>
      <c r="O20" s="15"/>
      <c r="P20" s="15"/>
      <c r="Q20" s="15"/>
      <c r="R20" s="15"/>
      <c r="S20" s="15"/>
      <c r="T20" s="15"/>
      <c r="U20" s="15"/>
      <c r="V20" s="15"/>
      <c r="W20" s="15"/>
      <c r="X20" s="15"/>
      <c r="Y20" s="15"/>
      <c r="Z20" s="15"/>
    </row>
    <row r="21" spans="1:26" x14ac:dyDescent="0.2">
      <c r="A21" s="15"/>
      <c r="B21" s="15" t="s">
        <v>843</v>
      </c>
      <c r="C21" s="36">
        <v>32.03</v>
      </c>
      <c r="D21" s="36">
        <v>94.87</v>
      </c>
      <c r="E21" s="36">
        <v>16.54</v>
      </c>
      <c r="F21" s="36">
        <v>20.75</v>
      </c>
      <c r="G21" s="36">
        <v>164.19</v>
      </c>
      <c r="H21" s="15"/>
      <c r="I21" s="15"/>
      <c r="J21" s="15"/>
      <c r="K21" s="15"/>
      <c r="L21" s="15"/>
      <c r="M21" s="15"/>
      <c r="N21" s="15"/>
      <c r="O21" s="15"/>
      <c r="P21" s="15"/>
      <c r="Q21" s="15"/>
      <c r="R21" s="15"/>
      <c r="S21" s="15"/>
      <c r="T21" s="15"/>
      <c r="U21" s="15"/>
      <c r="V21" s="15"/>
      <c r="W21" s="15"/>
      <c r="X21" s="15"/>
      <c r="Y21" s="15"/>
      <c r="Z21" s="15"/>
    </row>
    <row r="22" spans="1:26" x14ac:dyDescent="0.2">
      <c r="A22" s="15"/>
      <c r="B22" s="15" t="s">
        <v>75</v>
      </c>
      <c r="C22" s="36">
        <v>19.07</v>
      </c>
      <c r="D22" s="36">
        <v>79.55</v>
      </c>
      <c r="E22" s="36"/>
      <c r="F22" s="36">
        <v>56.2</v>
      </c>
      <c r="G22" s="36">
        <v>154.82</v>
      </c>
      <c r="H22" s="15"/>
      <c r="I22" s="15"/>
      <c r="J22" s="15"/>
      <c r="K22" s="15"/>
      <c r="L22" s="15"/>
      <c r="M22" s="15"/>
      <c r="N22" s="15"/>
      <c r="O22" s="15"/>
      <c r="P22" s="15"/>
      <c r="Q22" s="15"/>
      <c r="R22" s="15"/>
      <c r="S22" s="15"/>
      <c r="T22" s="15"/>
      <c r="U22" s="15"/>
      <c r="V22" s="15"/>
      <c r="W22" s="15"/>
      <c r="X22" s="15"/>
      <c r="Y22" s="15"/>
      <c r="Z22" s="15"/>
    </row>
    <row r="23" spans="1:26" x14ac:dyDescent="0.2">
      <c r="A23" s="15"/>
      <c r="B23" s="15" t="s">
        <v>43</v>
      </c>
      <c r="C23" s="36">
        <v>45.289999999999992</v>
      </c>
      <c r="D23" s="36">
        <v>60.739999999999995</v>
      </c>
      <c r="E23" s="36">
        <v>23.18</v>
      </c>
      <c r="F23" s="36"/>
      <c r="G23" s="36">
        <v>129.20999999999998</v>
      </c>
      <c r="H23" s="15"/>
      <c r="I23" s="15"/>
      <c r="J23" s="15"/>
      <c r="K23" s="15"/>
      <c r="L23" s="15"/>
      <c r="M23" s="15"/>
      <c r="N23" s="15"/>
      <c r="O23" s="15"/>
      <c r="P23" s="15"/>
      <c r="Q23" s="15"/>
      <c r="R23" s="15"/>
      <c r="S23" s="15"/>
      <c r="T23" s="15"/>
      <c r="U23" s="15"/>
      <c r="V23" s="15"/>
      <c r="W23" s="15"/>
      <c r="X23" s="15"/>
      <c r="Y23" s="15"/>
      <c r="Z23" s="15"/>
    </row>
    <row r="24" spans="1:26" x14ac:dyDescent="0.2">
      <c r="A24" s="15"/>
      <c r="B24" s="15" t="s">
        <v>5</v>
      </c>
      <c r="C24" s="36"/>
      <c r="D24" s="36">
        <v>79.099999999999994</v>
      </c>
      <c r="E24" s="36"/>
      <c r="F24" s="36">
        <v>18.84</v>
      </c>
      <c r="G24" s="36">
        <v>97.94</v>
      </c>
      <c r="H24" s="15"/>
      <c r="I24" s="15"/>
      <c r="J24" s="15"/>
      <c r="K24" s="15"/>
      <c r="L24" s="15"/>
      <c r="M24" s="15"/>
      <c r="N24" s="15"/>
      <c r="O24" s="15"/>
      <c r="P24" s="15"/>
      <c r="Q24" s="15"/>
      <c r="R24" s="15"/>
      <c r="S24" s="15"/>
      <c r="T24" s="15"/>
      <c r="U24" s="15"/>
      <c r="V24" s="15"/>
      <c r="W24" s="15"/>
      <c r="X24" s="15"/>
      <c r="Y24" s="15"/>
      <c r="Z24" s="15"/>
    </row>
    <row r="25" spans="1:26" x14ac:dyDescent="0.2">
      <c r="A25" s="15"/>
      <c r="B25" s="15" t="s">
        <v>894</v>
      </c>
      <c r="C25" s="36">
        <v>1012.55</v>
      </c>
      <c r="D25" s="36">
        <v>2270.5299999999997</v>
      </c>
      <c r="E25" s="36">
        <v>640.6</v>
      </c>
      <c r="F25" s="36">
        <v>1011.88</v>
      </c>
      <c r="G25" s="36">
        <v>4935.5599999999995</v>
      </c>
      <c r="H25" s="15"/>
      <c r="I25" s="15"/>
      <c r="J25" s="15"/>
      <c r="K25" s="15"/>
      <c r="L25" s="15"/>
      <c r="M25" s="15"/>
      <c r="N25" s="15"/>
      <c r="O25" s="15"/>
      <c r="P25" s="15"/>
      <c r="Q25" s="15"/>
      <c r="R25" s="15"/>
      <c r="S25" s="15"/>
      <c r="T25" s="15"/>
      <c r="U25" s="15"/>
      <c r="V25" s="15"/>
      <c r="W25" s="15"/>
      <c r="X25" s="15"/>
      <c r="Y25" s="15"/>
      <c r="Z25" s="15"/>
    </row>
    <row r="26" spans="1:26" x14ac:dyDescent="0.2">
      <c r="A26" s="15"/>
      <c r="B26" s="15"/>
      <c r="C26" s="15"/>
      <c r="D26" s="15"/>
      <c r="E26" s="15"/>
      <c r="F26" s="15"/>
      <c r="G26" s="15"/>
      <c r="H26" s="15"/>
      <c r="I26" s="15"/>
      <c r="J26" s="15"/>
      <c r="K26" s="15"/>
      <c r="L26" s="15"/>
      <c r="M26" s="15"/>
      <c r="N26" s="15"/>
      <c r="O26" s="15"/>
      <c r="P26" s="15"/>
      <c r="Q26" s="15"/>
      <c r="R26" s="15"/>
      <c r="S26" s="15"/>
      <c r="T26" s="15"/>
      <c r="U26" s="15"/>
      <c r="V26" s="15"/>
      <c r="W26" s="15"/>
      <c r="X26" s="15"/>
      <c r="Y26" s="15"/>
      <c r="Z26" s="15"/>
    </row>
    <row r="27" spans="1:26" x14ac:dyDescent="0.2">
      <c r="A27" s="15"/>
      <c r="B27" s="15"/>
      <c r="C27" s="15"/>
      <c r="D27" s="15"/>
      <c r="E27" s="15"/>
      <c r="F27" s="15"/>
      <c r="G27" s="15"/>
      <c r="H27" s="15"/>
      <c r="I27" s="15"/>
      <c r="J27" s="15"/>
      <c r="K27" s="15"/>
      <c r="L27" s="15"/>
      <c r="M27" s="15"/>
      <c r="N27" s="15"/>
      <c r="O27" s="15"/>
      <c r="P27" s="15"/>
      <c r="Q27" s="15"/>
      <c r="R27" s="15"/>
      <c r="S27" s="15"/>
      <c r="T27" s="15"/>
      <c r="U27" s="15"/>
      <c r="V27" s="15"/>
      <c r="W27" s="15"/>
      <c r="X27" s="15"/>
      <c r="Y27" s="15"/>
      <c r="Z27" s="15"/>
    </row>
    <row r="28" spans="1:26" x14ac:dyDescent="0.2">
      <c r="A28" s="15"/>
      <c r="B28" s="15"/>
      <c r="C28" s="15"/>
      <c r="D28" s="15"/>
      <c r="E28" s="15"/>
      <c r="F28" s="15"/>
      <c r="G28" s="15"/>
      <c r="H28" s="15"/>
      <c r="I28" s="15"/>
      <c r="J28" s="15"/>
      <c r="K28" s="15"/>
      <c r="L28" s="15"/>
      <c r="M28" s="15"/>
      <c r="N28" s="15"/>
      <c r="O28" s="15"/>
      <c r="P28" s="15"/>
      <c r="Q28" s="15"/>
      <c r="R28" s="15"/>
      <c r="S28" s="15"/>
      <c r="T28" s="15"/>
      <c r="U28" s="15"/>
      <c r="V28" s="15"/>
      <c r="W28" s="15"/>
      <c r="X28" s="15"/>
      <c r="Y28" s="15"/>
      <c r="Z28" s="15"/>
    </row>
    <row r="29" spans="1:26" x14ac:dyDescent="0.2">
      <c r="A29" s="15"/>
      <c r="B29" s="15"/>
      <c r="C29" s="15"/>
      <c r="D29" s="15"/>
      <c r="E29" s="15"/>
      <c r="F29" s="15"/>
      <c r="G29" s="15"/>
      <c r="H29" s="15"/>
      <c r="I29" s="15"/>
      <c r="J29" s="15"/>
      <c r="K29" s="15"/>
      <c r="L29" s="15"/>
      <c r="M29" s="15"/>
      <c r="N29" s="15"/>
      <c r="O29" s="15"/>
      <c r="P29" s="15"/>
      <c r="Q29" s="15"/>
      <c r="R29" s="15"/>
      <c r="S29" s="15"/>
      <c r="T29" s="15"/>
      <c r="U29" s="15"/>
      <c r="V29" s="15"/>
      <c r="W29" s="15"/>
      <c r="X29" s="15"/>
      <c r="Y29" s="15"/>
      <c r="Z29" s="15"/>
    </row>
    <row r="30" spans="1:26" x14ac:dyDescent="0.2">
      <c r="A30" s="15"/>
      <c r="B30" s="15"/>
      <c r="C30" s="15"/>
      <c r="D30" s="15"/>
      <c r="E30" s="15"/>
      <c r="F30" s="15"/>
      <c r="G30" s="15"/>
      <c r="H30" s="15"/>
      <c r="I30" s="15"/>
      <c r="J30" s="15"/>
      <c r="K30" s="15"/>
      <c r="L30" s="15"/>
      <c r="M30" s="15"/>
      <c r="N30" s="15"/>
      <c r="O30" s="15"/>
      <c r="P30" s="15"/>
      <c r="Q30" s="15"/>
      <c r="R30" s="15"/>
      <c r="S30" s="15"/>
      <c r="T30" s="15"/>
      <c r="U30" s="15"/>
      <c r="V30" s="15"/>
      <c r="W30" s="15"/>
      <c r="X30" s="15"/>
      <c r="Y30" s="15"/>
      <c r="Z30" s="15"/>
    </row>
    <row r="31" spans="1:26" x14ac:dyDescent="0.2">
      <c r="A31" s="15"/>
      <c r="B31" s="15"/>
      <c r="C31" s="15"/>
      <c r="D31" s="15"/>
      <c r="E31" s="15"/>
      <c r="F31" s="15"/>
      <c r="G31" s="15"/>
      <c r="H31" s="15"/>
      <c r="I31" s="15"/>
      <c r="J31" s="15"/>
      <c r="K31" s="15"/>
      <c r="L31" s="15"/>
      <c r="M31" s="15"/>
      <c r="N31" s="15"/>
      <c r="O31" s="15"/>
      <c r="P31" s="15"/>
      <c r="Q31" s="15"/>
      <c r="R31" s="15"/>
      <c r="S31" s="15"/>
      <c r="T31" s="15"/>
      <c r="U31" s="15"/>
      <c r="V31" s="15"/>
      <c r="W31" s="15"/>
      <c r="X31" s="15"/>
      <c r="Y31" s="15"/>
      <c r="Z31" s="15"/>
    </row>
    <row r="32" spans="1:26" x14ac:dyDescent="0.2">
      <c r="A32" s="15"/>
      <c r="B32" s="15"/>
      <c r="C32" s="15"/>
      <c r="D32" s="15"/>
      <c r="E32" s="15"/>
      <c r="F32" s="15"/>
      <c r="G32" s="15"/>
      <c r="H32" s="15"/>
      <c r="I32" s="15"/>
      <c r="J32" s="15"/>
      <c r="K32" s="15"/>
      <c r="L32" s="15"/>
      <c r="M32" s="15"/>
      <c r="N32" s="15"/>
      <c r="O32" s="15"/>
      <c r="P32" s="15"/>
      <c r="Q32" s="15"/>
      <c r="R32" s="15"/>
      <c r="S32" s="15"/>
      <c r="T32" s="15"/>
      <c r="U32" s="15"/>
      <c r="V32" s="15"/>
      <c r="W32" s="15"/>
      <c r="X32" s="15"/>
      <c r="Y32" s="15"/>
      <c r="Z32" s="15"/>
    </row>
    <row r="33" spans="1:26" x14ac:dyDescent="0.2">
      <c r="A33" s="15"/>
      <c r="B33" s="15"/>
      <c r="C33" s="15"/>
      <c r="D33" s="15"/>
      <c r="E33" s="15"/>
      <c r="F33" s="15"/>
      <c r="G33" s="15"/>
      <c r="H33" s="15"/>
      <c r="I33" s="15"/>
      <c r="J33" s="15"/>
      <c r="K33" s="15"/>
      <c r="L33" s="15"/>
      <c r="M33" s="15"/>
      <c r="N33" s="15"/>
      <c r="O33" s="15"/>
      <c r="P33" s="15"/>
      <c r="Q33" s="15"/>
      <c r="R33" s="15"/>
      <c r="S33" s="15"/>
      <c r="T33" s="15"/>
      <c r="U33" s="15"/>
      <c r="V33" s="15"/>
      <c r="W33" s="15"/>
      <c r="X33" s="15"/>
      <c r="Y33" s="15"/>
      <c r="Z33" s="15"/>
    </row>
    <row r="34" spans="1:26" x14ac:dyDescent="0.2">
      <c r="A34" s="15"/>
      <c r="B34" s="15"/>
      <c r="C34" s="15"/>
      <c r="D34" s="15"/>
      <c r="E34" s="15"/>
      <c r="F34" s="15"/>
      <c r="G34" s="15"/>
      <c r="H34" s="15"/>
      <c r="I34" s="15"/>
      <c r="J34" s="15"/>
      <c r="K34" s="15"/>
      <c r="L34" s="15"/>
      <c r="M34" s="15"/>
      <c r="N34" s="15"/>
      <c r="O34" s="15"/>
      <c r="P34" s="15"/>
      <c r="Q34" s="15"/>
      <c r="R34" s="15"/>
      <c r="S34" s="15"/>
      <c r="T34" s="15"/>
      <c r="U34" s="15"/>
      <c r="V34" s="15"/>
      <c r="W34" s="15"/>
      <c r="X34" s="15"/>
      <c r="Y34" s="15"/>
      <c r="Z34" s="15"/>
    </row>
    <row r="35" spans="1:26" x14ac:dyDescent="0.2">
      <c r="A35" s="15"/>
      <c r="B35" s="15"/>
      <c r="C35" s="15"/>
      <c r="D35" s="15"/>
      <c r="E35" s="15"/>
      <c r="F35" s="15"/>
      <c r="G35" s="15"/>
      <c r="H35" s="15"/>
      <c r="I35" s="15"/>
      <c r="J35" s="15"/>
      <c r="K35" s="15"/>
      <c r="L35" s="15"/>
      <c r="M35" s="15"/>
      <c r="N35" s="15"/>
      <c r="O35" s="15"/>
      <c r="P35" s="15"/>
      <c r="Q35" s="15"/>
      <c r="R35" s="15"/>
      <c r="S35" s="15"/>
      <c r="T35" s="15"/>
      <c r="U35" s="15"/>
      <c r="V35" s="15"/>
      <c r="W35" s="15"/>
      <c r="X35" s="15"/>
      <c r="Y35" s="15"/>
      <c r="Z35" s="15"/>
    </row>
    <row r="36" spans="1:26" x14ac:dyDescent="0.2">
      <c r="A36" s="15"/>
      <c r="B36" s="15"/>
      <c r="C36" s="15"/>
      <c r="D36" s="15"/>
      <c r="E36" s="15"/>
      <c r="F36" s="15"/>
      <c r="G36" s="15"/>
      <c r="H36" s="15"/>
      <c r="I36" s="15"/>
      <c r="J36" s="15"/>
      <c r="K36" s="15"/>
      <c r="L36" s="15"/>
      <c r="M36" s="15"/>
      <c r="N36" s="15"/>
      <c r="O36" s="15"/>
      <c r="P36" s="15"/>
      <c r="Q36" s="15"/>
      <c r="R36" s="15"/>
      <c r="S36" s="15"/>
      <c r="T36" s="15"/>
      <c r="U36" s="15"/>
      <c r="V36" s="15"/>
      <c r="W36" s="15"/>
      <c r="X36" s="15"/>
      <c r="Y36" s="15"/>
      <c r="Z36" s="15"/>
    </row>
    <row r="37" spans="1:26" x14ac:dyDescent="0.2">
      <c r="A37" s="15"/>
      <c r="B37" s="15"/>
      <c r="C37" s="15"/>
      <c r="D37" s="15"/>
      <c r="E37" s="15"/>
      <c r="F37" s="15"/>
      <c r="G37" s="15"/>
      <c r="H37" s="15"/>
      <c r="I37" s="15"/>
      <c r="J37" s="15"/>
      <c r="K37" s="15"/>
      <c r="L37" s="15"/>
      <c r="M37" s="15"/>
      <c r="N37" s="15"/>
      <c r="O37" s="15"/>
      <c r="P37" s="15"/>
      <c r="Q37" s="15"/>
      <c r="R37" s="15"/>
      <c r="S37" s="15"/>
      <c r="T37" s="15"/>
      <c r="U37" s="15"/>
      <c r="V37" s="15"/>
      <c r="W37" s="15"/>
      <c r="X37" s="15"/>
      <c r="Y37" s="15"/>
      <c r="Z37" s="15"/>
    </row>
    <row r="38" spans="1:26" x14ac:dyDescent="0.2">
      <c r="A38" s="15"/>
      <c r="B38" s="15"/>
      <c r="C38" s="15"/>
      <c r="D38" s="15"/>
      <c r="E38" s="15"/>
      <c r="F38" s="15"/>
      <c r="G38" s="15"/>
      <c r="H38" s="15"/>
      <c r="I38" s="15"/>
      <c r="J38" s="15"/>
      <c r="K38" s="15"/>
      <c r="L38" s="15"/>
      <c r="M38" s="15"/>
      <c r="N38" s="15"/>
      <c r="O38" s="15"/>
      <c r="P38" s="15"/>
      <c r="Q38" s="15"/>
      <c r="R38" s="15"/>
      <c r="S38" s="15"/>
      <c r="T38" s="15"/>
      <c r="U38" s="15"/>
      <c r="V38" s="15"/>
      <c r="W38" s="15"/>
      <c r="X38" s="15"/>
      <c r="Y38" s="15"/>
      <c r="Z38" s="15"/>
    </row>
    <row r="39" spans="1:26" x14ac:dyDescent="0.2">
      <c r="A39" s="15"/>
      <c r="B39" s="15"/>
      <c r="C39" s="15"/>
      <c r="D39" s="15"/>
      <c r="E39" s="15"/>
      <c r="F39" s="15"/>
      <c r="G39" s="15"/>
      <c r="H39" s="15"/>
      <c r="I39" s="15"/>
      <c r="J39" s="15"/>
      <c r="K39" s="15"/>
      <c r="L39" s="15"/>
      <c r="M39" s="15"/>
      <c r="N39" s="15"/>
      <c r="O39" s="15"/>
      <c r="P39" s="15"/>
      <c r="Q39" s="15"/>
      <c r="R39" s="15"/>
      <c r="S39" s="15"/>
      <c r="T39" s="15"/>
      <c r="U39" s="15"/>
      <c r="V39" s="15"/>
      <c r="W39" s="15"/>
      <c r="X39" s="15"/>
      <c r="Y39" s="15"/>
      <c r="Z39" s="15"/>
    </row>
    <row r="40" spans="1:26" x14ac:dyDescent="0.2">
      <c r="A40" s="15"/>
      <c r="B40" s="15"/>
      <c r="C40" s="15"/>
      <c r="D40" s="15"/>
      <c r="E40" s="15"/>
      <c r="F40" s="15"/>
      <c r="G40" s="15"/>
      <c r="H40" s="15"/>
      <c r="I40" s="15"/>
      <c r="J40" s="15"/>
      <c r="K40" s="15"/>
      <c r="L40" s="15"/>
      <c r="M40" s="15"/>
      <c r="N40" s="15"/>
      <c r="O40" s="15"/>
      <c r="P40" s="15"/>
      <c r="Q40" s="15"/>
      <c r="R40" s="15"/>
      <c r="S40" s="15"/>
      <c r="T40" s="15"/>
      <c r="U40" s="15"/>
      <c r="V40" s="15"/>
      <c r="W40" s="15"/>
      <c r="X40" s="15"/>
      <c r="Y40" s="15"/>
      <c r="Z40" s="15"/>
    </row>
    <row r="41" spans="1:26" x14ac:dyDescent="0.2">
      <c r="A41" s="15"/>
      <c r="B41" s="15"/>
      <c r="C41" s="15"/>
      <c r="D41" s="15"/>
      <c r="E41" s="15"/>
      <c r="F41" s="15"/>
      <c r="G41" s="15"/>
      <c r="H41" s="15"/>
      <c r="I41" s="15"/>
      <c r="J41" s="15"/>
      <c r="K41" s="15"/>
      <c r="L41" s="15"/>
      <c r="M41" s="15"/>
      <c r="N41" s="15"/>
      <c r="O41" s="15"/>
      <c r="P41" s="15"/>
      <c r="Q41" s="15"/>
      <c r="R41" s="15"/>
      <c r="S41" s="15"/>
      <c r="T41" s="15"/>
      <c r="U41" s="15"/>
      <c r="V41" s="15"/>
      <c r="W41" s="15"/>
      <c r="X41" s="15"/>
      <c r="Y41" s="15"/>
      <c r="Z41" s="15"/>
    </row>
    <row r="42" spans="1:26" x14ac:dyDescent="0.2">
      <c r="A42" s="15"/>
      <c r="B42" s="15"/>
      <c r="C42" s="15"/>
      <c r="D42" s="15"/>
      <c r="E42" s="15"/>
      <c r="F42" s="15"/>
      <c r="G42" s="15"/>
      <c r="H42" s="15"/>
      <c r="I42" s="15"/>
      <c r="J42" s="15"/>
      <c r="K42" s="15"/>
      <c r="L42" s="15"/>
      <c r="M42" s="15"/>
      <c r="N42" s="15"/>
      <c r="O42" s="15"/>
      <c r="P42" s="15"/>
      <c r="Q42" s="15"/>
      <c r="R42" s="15"/>
      <c r="S42" s="15"/>
      <c r="T42" s="15"/>
      <c r="U42" s="15"/>
      <c r="V42" s="15"/>
      <c r="W42" s="15"/>
      <c r="X42" s="15"/>
      <c r="Y42" s="15"/>
      <c r="Z42" s="15"/>
    </row>
    <row r="43" spans="1:26" x14ac:dyDescent="0.2">
      <c r="A43" s="15"/>
      <c r="B43" s="15"/>
      <c r="C43" s="15"/>
      <c r="D43" s="15"/>
      <c r="E43" s="15"/>
      <c r="F43" s="15"/>
      <c r="G43" s="15"/>
      <c r="H43" s="15"/>
      <c r="I43" s="15"/>
      <c r="J43" s="15"/>
      <c r="K43" s="15"/>
      <c r="L43" s="15"/>
      <c r="M43" s="15"/>
      <c r="N43" s="15"/>
      <c r="O43" s="15"/>
      <c r="P43" s="15"/>
      <c r="Q43" s="15"/>
      <c r="R43" s="15"/>
      <c r="S43" s="15"/>
      <c r="T43" s="15"/>
      <c r="U43" s="15"/>
      <c r="V43" s="15"/>
      <c r="W43" s="15"/>
      <c r="X43" s="15"/>
      <c r="Y43" s="15"/>
      <c r="Z43" s="15"/>
    </row>
    <row r="44" spans="1:26" x14ac:dyDescent="0.2">
      <c r="A44" s="15"/>
      <c r="B44" s="15"/>
      <c r="C44" s="15"/>
      <c r="D44" s="15"/>
      <c r="E44" s="15"/>
      <c r="F44" s="15"/>
      <c r="G44" s="15"/>
      <c r="H44" s="15"/>
      <c r="I44" s="15"/>
      <c r="J44" s="15"/>
      <c r="K44" s="15"/>
      <c r="L44" s="15"/>
      <c r="M44" s="15"/>
      <c r="N44" s="15"/>
      <c r="O44" s="15"/>
      <c r="P44" s="15"/>
      <c r="Q44" s="15"/>
      <c r="R44" s="15"/>
      <c r="S44" s="15"/>
      <c r="T44" s="15"/>
      <c r="U44" s="15"/>
      <c r="V44" s="15"/>
      <c r="W44" s="15"/>
      <c r="X44" s="15"/>
      <c r="Y44" s="15"/>
      <c r="Z44" s="15"/>
    </row>
    <row r="45" spans="1:26" x14ac:dyDescent="0.2">
      <c r="A45" s="15"/>
      <c r="B45" s="15"/>
      <c r="C45" s="15"/>
      <c r="D45" s="15"/>
      <c r="E45" s="15"/>
      <c r="F45" s="15"/>
      <c r="G45" s="15"/>
      <c r="H45" s="15"/>
      <c r="I45" s="15"/>
      <c r="J45" s="15"/>
      <c r="K45" s="15"/>
      <c r="L45" s="15"/>
      <c r="M45" s="15"/>
      <c r="N45" s="15"/>
      <c r="O45" s="15"/>
      <c r="P45" s="15"/>
      <c r="Q45" s="15"/>
      <c r="R45" s="15"/>
      <c r="S45" s="15"/>
      <c r="T45" s="15"/>
      <c r="U45" s="15"/>
      <c r="V45" s="15"/>
      <c r="W45" s="15"/>
      <c r="X45" s="15"/>
      <c r="Y45" s="15"/>
      <c r="Z45" s="15"/>
    </row>
    <row r="46" spans="1:26" x14ac:dyDescent="0.2">
      <c r="A46" s="15"/>
      <c r="B46" s="15"/>
      <c r="C46" s="15"/>
      <c r="D46" s="15"/>
      <c r="E46" s="15"/>
      <c r="F46" s="15"/>
      <c r="G46" s="15"/>
      <c r="H46" s="15"/>
      <c r="I46" s="15"/>
      <c r="J46" s="15"/>
      <c r="K46" s="15"/>
      <c r="L46" s="15"/>
      <c r="M46" s="15"/>
      <c r="N46" s="15"/>
      <c r="O46" s="15"/>
      <c r="P46" s="15"/>
      <c r="Q46" s="15"/>
      <c r="R46" s="15"/>
      <c r="S46" s="15"/>
      <c r="T46" s="15"/>
      <c r="U46" s="15"/>
      <c r="V46" s="15"/>
      <c r="W46" s="15"/>
      <c r="X46" s="15"/>
      <c r="Y46" s="15"/>
      <c r="Z46" s="15"/>
    </row>
    <row r="47" spans="1:26" x14ac:dyDescent="0.2">
      <c r="A47" s="15"/>
      <c r="B47" s="15"/>
      <c r="C47" s="15"/>
      <c r="D47" s="15"/>
      <c r="E47" s="15"/>
      <c r="F47" s="15"/>
      <c r="G47" s="15"/>
      <c r="H47" s="15"/>
      <c r="I47" s="15"/>
      <c r="J47" s="15"/>
      <c r="K47" s="15"/>
      <c r="L47" s="15"/>
      <c r="M47" s="15"/>
      <c r="N47" s="15"/>
      <c r="O47" s="15"/>
      <c r="P47" s="15"/>
      <c r="Q47" s="15"/>
      <c r="R47" s="15"/>
      <c r="S47" s="15"/>
      <c r="T47" s="15"/>
      <c r="U47" s="15"/>
      <c r="V47" s="15"/>
      <c r="W47" s="15"/>
      <c r="X47" s="15"/>
      <c r="Y47" s="15"/>
      <c r="Z47" s="15"/>
    </row>
    <row r="48" spans="1:26" x14ac:dyDescent="0.2">
      <c r="A48" s="15"/>
      <c r="B48" s="15"/>
      <c r="C48" s="15"/>
      <c r="D48" s="15"/>
      <c r="E48" s="15"/>
      <c r="F48" s="15"/>
      <c r="G48" s="15"/>
      <c r="H48" s="15"/>
      <c r="I48" s="15"/>
      <c r="J48" s="15"/>
      <c r="K48" s="15"/>
      <c r="L48" s="15"/>
      <c r="M48" s="15"/>
      <c r="N48" s="15"/>
      <c r="O48" s="15"/>
      <c r="P48" s="15"/>
      <c r="Q48" s="15"/>
      <c r="R48" s="15"/>
      <c r="S48" s="15"/>
      <c r="T48" s="15"/>
      <c r="U48" s="15"/>
      <c r="V48" s="15"/>
      <c r="W48" s="15"/>
      <c r="X48" s="15"/>
      <c r="Y48" s="15"/>
      <c r="Z48" s="15"/>
    </row>
    <row r="49" spans="1:26" x14ac:dyDescent="0.2">
      <c r="A49" s="15"/>
      <c r="B49" s="15"/>
      <c r="C49" s="15"/>
      <c r="D49" s="15"/>
      <c r="E49" s="15"/>
      <c r="F49" s="15"/>
      <c r="G49" s="15"/>
      <c r="H49" s="15"/>
      <c r="I49" s="15"/>
      <c r="J49" s="15"/>
      <c r="K49" s="15"/>
      <c r="L49" s="15"/>
      <c r="M49" s="15"/>
      <c r="N49" s="15"/>
      <c r="O49" s="15"/>
      <c r="P49" s="15"/>
      <c r="Q49" s="15"/>
      <c r="R49" s="15"/>
      <c r="S49" s="15"/>
      <c r="T49" s="15"/>
      <c r="U49" s="15"/>
      <c r="V49" s="15"/>
      <c r="W49" s="15"/>
      <c r="X49" s="15"/>
      <c r="Y49" s="15"/>
      <c r="Z49" s="15"/>
    </row>
    <row r="50" spans="1:26" x14ac:dyDescent="0.2">
      <c r="A50" s="15"/>
      <c r="B50" s="15"/>
      <c r="C50" s="15"/>
      <c r="D50" s="15"/>
      <c r="E50" s="15"/>
      <c r="F50" s="15"/>
      <c r="G50" s="15"/>
      <c r="H50" s="15"/>
      <c r="I50" s="15"/>
      <c r="J50" s="15"/>
      <c r="K50" s="15"/>
      <c r="L50" s="15"/>
      <c r="M50" s="15"/>
      <c r="N50" s="15"/>
      <c r="O50" s="15"/>
      <c r="P50" s="15"/>
      <c r="Q50" s="15"/>
      <c r="R50" s="15"/>
      <c r="S50" s="15"/>
      <c r="T50" s="15"/>
      <c r="U50" s="15"/>
      <c r="V50" s="15"/>
      <c r="W50" s="15"/>
      <c r="X50" s="15"/>
      <c r="Y50" s="15"/>
      <c r="Z50" s="15"/>
    </row>
    <row r="51" spans="1:26" x14ac:dyDescent="0.2">
      <c r="A51" s="15"/>
      <c r="B51" s="15"/>
      <c r="C51" s="15"/>
      <c r="D51" s="15"/>
      <c r="E51" s="15"/>
      <c r="F51" s="15"/>
      <c r="G51" s="15"/>
      <c r="H51" s="15"/>
      <c r="I51" s="15"/>
      <c r="J51" s="15"/>
      <c r="K51" s="15"/>
      <c r="L51" s="15"/>
      <c r="M51" s="15"/>
      <c r="N51" s="15"/>
      <c r="O51" s="15"/>
      <c r="P51" s="15"/>
      <c r="Q51" s="15"/>
      <c r="R51" s="15"/>
      <c r="S51" s="15"/>
      <c r="T51" s="15"/>
      <c r="U51" s="15"/>
      <c r="V51" s="15"/>
      <c r="W51" s="15"/>
      <c r="X51" s="15"/>
      <c r="Y51" s="15"/>
      <c r="Z51" s="15"/>
    </row>
    <row r="52" spans="1:26" x14ac:dyDescent="0.2">
      <c r="A52" s="15"/>
      <c r="B52" s="15"/>
      <c r="C52" s="15"/>
      <c r="D52" s="15"/>
      <c r="E52" s="15"/>
      <c r="F52" s="15"/>
      <c r="G52" s="15"/>
      <c r="H52" s="15"/>
      <c r="I52" s="15"/>
      <c r="J52" s="15"/>
      <c r="K52" s="15"/>
      <c r="L52" s="15"/>
      <c r="M52" s="15"/>
      <c r="N52" s="15"/>
      <c r="O52" s="15"/>
      <c r="P52" s="15"/>
      <c r="Q52" s="15"/>
      <c r="R52" s="15"/>
      <c r="S52" s="15"/>
      <c r="T52" s="15"/>
      <c r="U52" s="15"/>
      <c r="V52" s="15"/>
      <c r="W52" s="15"/>
      <c r="X52" s="15"/>
      <c r="Y52" s="15"/>
      <c r="Z52" s="15"/>
    </row>
    <row r="53" spans="1:26" x14ac:dyDescent="0.2">
      <c r="A53" s="15"/>
      <c r="B53" s="15"/>
      <c r="C53" s="15"/>
      <c r="D53" s="15"/>
      <c r="E53" s="15"/>
      <c r="F53" s="15"/>
      <c r="G53" s="15"/>
      <c r="H53" s="15"/>
      <c r="I53" s="15"/>
      <c r="J53" s="15"/>
      <c r="K53" s="15"/>
      <c r="L53" s="15"/>
      <c r="M53" s="15"/>
      <c r="N53" s="15"/>
      <c r="O53" s="15"/>
      <c r="P53" s="15"/>
      <c r="Q53" s="15"/>
      <c r="R53" s="15"/>
      <c r="S53" s="15"/>
      <c r="T53" s="15"/>
      <c r="U53" s="15"/>
      <c r="V53" s="15"/>
      <c r="W53" s="15"/>
      <c r="X53" s="15"/>
      <c r="Y53" s="15"/>
      <c r="Z53" s="15"/>
    </row>
    <row r="54" spans="1:26" x14ac:dyDescent="0.2">
      <c r="A54" s="15"/>
      <c r="B54" s="15"/>
      <c r="C54" s="15"/>
      <c r="D54" s="15"/>
      <c r="E54" s="15"/>
      <c r="F54" s="15"/>
      <c r="G54" s="15"/>
      <c r="H54" s="15"/>
      <c r="I54" s="15"/>
      <c r="J54" s="15"/>
      <c r="K54" s="15"/>
      <c r="L54" s="15"/>
      <c r="M54" s="15"/>
      <c r="N54" s="15"/>
      <c r="O54" s="15"/>
      <c r="P54" s="15"/>
      <c r="Q54" s="15"/>
      <c r="R54" s="15"/>
      <c r="S54" s="15"/>
      <c r="T54" s="15"/>
      <c r="U54" s="15"/>
      <c r="V54" s="15"/>
      <c r="W54" s="15"/>
      <c r="X54" s="15"/>
      <c r="Y54" s="15"/>
      <c r="Z54" s="15"/>
    </row>
    <row r="55" spans="1:26" x14ac:dyDescent="0.2">
      <c r="A55" s="15"/>
      <c r="B55" s="15"/>
      <c r="C55" s="15"/>
      <c r="D55" s="15"/>
      <c r="E55" s="15"/>
      <c r="F55" s="15"/>
      <c r="G55" s="15"/>
      <c r="H55" s="15"/>
      <c r="I55" s="15"/>
      <c r="J55" s="15"/>
      <c r="K55" s="15"/>
      <c r="L55" s="15"/>
      <c r="M55" s="15"/>
      <c r="N55" s="15"/>
      <c r="O55" s="15"/>
      <c r="P55" s="15"/>
      <c r="Q55" s="15"/>
      <c r="R55" s="15"/>
      <c r="S55" s="15"/>
      <c r="T55" s="15"/>
      <c r="U55" s="15"/>
      <c r="V55" s="15"/>
      <c r="W55" s="15"/>
      <c r="X55" s="15"/>
      <c r="Y55" s="15"/>
      <c r="Z55" s="15"/>
    </row>
    <row r="56" spans="1:26" x14ac:dyDescent="0.2">
      <c r="A56" s="15"/>
      <c r="B56" s="15"/>
      <c r="C56" s="15"/>
      <c r="D56" s="15"/>
      <c r="E56" s="15"/>
      <c r="F56" s="15"/>
      <c r="G56" s="15"/>
      <c r="H56" s="15"/>
      <c r="I56" s="15"/>
      <c r="J56" s="15"/>
      <c r="K56" s="15"/>
      <c r="L56" s="15"/>
      <c r="M56" s="15"/>
      <c r="N56" s="15"/>
      <c r="O56" s="15"/>
      <c r="P56" s="15"/>
      <c r="Q56" s="15"/>
      <c r="R56" s="15"/>
      <c r="S56" s="15"/>
      <c r="T56" s="15"/>
      <c r="U56" s="15"/>
      <c r="V56" s="15"/>
      <c r="W56" s="15"/>
      <c r="X56" s="15"/>
      <c r="Y56" s="15"/>
      <c r="Z56" s="15"/>
    </row>
    <row r="57" spans="1:26" x14ac:dyDescent="0.2">
      <c r="A57" s="15"/>
      <c r="B57" s="15"/>
      <c r="C57" s="15"/>
      <c r="D57" s="15"/>
      <c r="E57" s="15"/>
      <c r="F57" s="15"/>
      <c r="G57" s="15"/>
      <c r="H57" s="15"/>
      <c r="I57" s="15"/>
      <c r="J57" s="15"/>
      <c r="K57" s="15"/>
      <c r="L57" s="15"/>
      <c r="M57" s="15"/>
      <c r="N57" s="15"/>
      <c r="O57" s="15"/>
      <c r="P57" s="15"/>
      <c r="Q57" s="15"/>
      <c r="R57" s="15"/>
      <c r="S57" s="15"/>
      <c r="T57" s="15"/>
      <c r="U57" s="15"/>
      <c r="V57" s="15"/>
      <c r="W57" s="15"/>
      <c r="X57" s="15"/>
      <c r="Y57" s="15"/>
      <c r="Z57" s="15"/>
    </row>
    <row r="58" spans="1:26" x14ac:dyDescent="0.2">
      <c r="A58" s="15"/>
      <c r="B58" s="15"/>
      <c r="C58" s="15"/>
      <c r="D58" s="15"/>
      <c r="E58" s="15"/>
      <c r="F58" s="15"/>
      <c r="G58" s="15"/>
      <c r="H58" s="15"/>
      <c r="I58" s="15"/>
      <c r="J58" s="15"/>
      <c r="K58" s="15"/>
      <c r="L58" s="15"/>
      <c r="M58" s="15"/>
      <c r="N58" s="15"/>
      <c r="O58" s="15"/>
      <c r="P58" s="15"/>
      <c r="Q58" s="15"/>
      <c r="R58" s="15"/>
      <c r="S58" s="15"/>
      <c r="T58" s="15"/>
      <c r="U58" s="15"/>
      <c r="V58" s="15"/>
      <c r="W58" s="15"/>
      <c r="X58" s="15"/>
      <c r="Y58" s="15"/>
      <c r="Z58" s="15"/>
    </row>
    <row r="59" spans="1:26" x14ac:dyDescent="0.2">
      <c r="A59" s="15"/>
      <c r="B59" s="15"/>
      <c r="C59" s="15"/>
      <c r="D59" s="15"/>
      <c r="E59" s="15"/>
      <c r="F59" s="15"/>
      <c r="G59" s="15"/>
      <c r="H59" s="15"/>
      <c r="I59" s="15"/>
      <c r="J59" s="15"/>
      <c r="K59" s="15"/>
      <c r="L59" s="15"/>
      <c r="M59" s="15"/>
      <c r="N59" s="15"/>
      <c r="O59" s="15"/>
      <c r="P59" s="15"/>
      <c r="Q59" s="15"/>
      <c r="R59" s="15"/>
      <c r="S59" s="15"/>
      <c r="T59" s="15"/>
      <c r="U59" s="15"/>
      <c r="V59" s="15"/>
      <c r="W59" s="15"/>
      <c r="X59" s="15"/>
      <c r="Y59" s="15"/>
      <c r="Z59" s="15"/>
    </row>
    <row r="60" spans="1:26" x14ac:dyDescent="0.2">
      <c r="A60" s="15"/>
      <c r="B60" s="15"/>
      <c r="C60" s="15"/>
      <c r="D60" s="15"/>
      <c r="E60" s="15"/>
      <c r="F60" s="15"/>
      <c r="G60" s="15"/>
      <c r="H60" s="15"/>
      <c r="I60" s="15"/>
      <c r="J60" s="15"/>
      <c r="K60" s="15"/>
      <c r="L60" s="15"/>
      <c r="M60" s="15"/>
      <c r="N60" s="15"/>
      <c r="O60" s="15"/>
      <c r="P60" s="15"/>
      <c r="Q60" s="15"/>
      <c r="R60" s="15"/>
      <c r="S60" s="15"/>
      <c r="T60" s="15"/>
      <c r="U60" s="15"/>
      <c r="V60" s="15"/>
      <c r="W60" s="15"/>
      <c r="X60" s="15"/>
      <c r="Y60" s="15"/>
      <c r="Z60" s="15"/>
    </row>
    <row r="61" spans="1:26" x14ac:dyDescent="0.2">
      <c r="A61" s="15"/>
      <c r="B61" s="15"/>
      <c r="C61" s="15"/>
      <c r="D61" s="15"/>
      <c r="E61" s="15"/>
      <c r="F61" s="15"/>
      <c r="G61" s="15"/>
      <c r="H61" s="15"/>
      <c r="I61" s="15"/>
      <c r="J61" s="15"/>
      <c r="K61" s="15"/>
      <c r="L61" s="15"/>
      <c r="M61" s="15"/>
      <c r="N61" s="15"/>
      <c r="O61" s="15"/>
      <c r="P61" s="15"/>
      <c r="Q61" s="15"/>
      <c r="R61" s="15"/>
      <c r="S61" s="15"/>
      <c r="T61" s="15"/>
      <c r="U61" s="15"/>
      <c r="V61" s="15"/>
      <c r="W61" s="15"/>
      <c r="X61" s="15"/>
      <c r="Y61" s="15"/>
      <c r="Z61" s="15"/>
    </row>
    <row r="62" spans="1:26" x14ac:dyDescent="0.2">
      <c r="A62" s="15"/>
      <c r="B62" s="15"/>
      <c r="C62" s="15"/>
      <c r="D62" s="15"/>
      <c r="E62" s="15"/>
      <c r="F62" s="15"/>
      <c r="G62" s="15"/>
      <c r="H62" s="15"/>
      <c r="I62" s="15"/>
      <c r="J62" s="15"/>
      <c r="K62" s="15"/>
      <c r="L62" s="15"/>
      <c r="M62" s="15"/>
      <c r="N62" s="15"/>
      <c r="O62" s="15"/>
      <c r="P62" s="15"/>
      <c r="Q62" s="15"/>
      <c r="R62" s="15"/>
      <c r="S62" s="15"/>
      <c r="T62" s="15"/>
      <c r="U62" s="15"/>
      <c r="V62" s="15"/>
      <c r="W62" s="15"/>
      <c r="X62" s="15"/>
      <c r="Y62" s="15"/>
      <c r="Z62" s="15"/>
    </row>
    <row r="63" spans="1:26" x14ac:dyDescent="0.2">
      <c r="A63" s="15"/>
      <c r="B63" s="15"/>
      <c r="C63" s="15"/>
      <c r="D63" s="15"/>
      <c r="E63" s="15"/>
      <c r="F63" s="15"/>
      <c r="G63" s="15"/>
      <c r="H63" s="15"/>
      <c r="I63" s="15"/>
      <c r="J63" s="15"/>
      <c r="K63" s="15"/>
      <c r="L63" s="15"/>
      <c r="M63" s="15"/>
      <c r="N63" s="15"/>
      <c r="O63" s="15"/>
      <c r="P63" s="15"/>
      <c r="Q63" s="15"/>
      <c r="R63" s="15"/>
      <c r="S63" s="15"/>
      <c r="T63" s="15"/>
      <c r="U63" s="15"/>
      <c r="V63" s="15"/>
      <c r="W63" s="15"/>
      <c r="X63" s="15"/>
      <c r="Y63" s="15"/>
      <c r="Z63" s="15"/>
    </row>
    <row r="64" spans="1:26" x14ac:dyDescent="0.2">
      <c r="A64" s="15"/>
      <c r="B64" s="15"/>
      <c r="C64" s="15"/>
      <c r="D64" s="15"/>
      <c r="E64" s="15"/>
      <c r="F64" s="15"/>
      <c r="G64" s="15"/>
      <c r="H64" s="15"/>
      <c r="I64" s="15"/>
      <c r="J64" s="15"/>
      <c r="K64" s="15"/>
      <c r="L64" s="15"/>
      <c r="M64" s="15"/>
      <c r="N64" s="15"/>
      <c r="O64" s="15"/>
      <c r="P64" s="15"/>
      <c r="Q64" s="15"/>
      <c r="R64" s="15"/>
      <c r="S64" s="15"/>
      <c r="T64" s="15"/>
      <c r="U64" s="15"/>
      <c r="V64" s="15"/>
      <c r="W64" s="15"/>
      <c r="X64" s="15"/>
      <c r="Y64" s="15"/>
      <c r="Z64" s="15"/>
    </row>
    <row r="65" spans="1:26" x14ac:dyDescent="0.2">
      <c r="A65" s="15"/>
      <c r="B65" s="15"/>
      <c r="C65" s="15"/>
      <c r="D65" s="15"/>
      <c r="E65" s="15"/>
      <c r="F65" s="15"/>
      <c r="G65" s="15"/>
      <c r="H65" s="15"/>
      <c r="I65" s="15"/>
      <c r="J65" s="15"/>
      <c r="K65" s="15"/>
      <c r="L65" s="15"/>
      <c r="M65" s="15"/>
      <c r="N65" s="15"/>
      <c r="O65" s="15"/>
      <c r="P65" s="15"/>
      <c r="Q65" s="15"/>
      <c r="R65" s="15"/>
      <c r="S65" s="15"/>
      <c r="T65" s="15"/>
      <c r="U65" s="15"/>
      <c r="V65" s="15"/>
      <c r="W65" s="15"/>
      <c r="X65" s="15"/>
      <c r="Y65" s="15"/>
      <c r="Z65" s="15"/>
    </row>
    <row r="66" spans="1:26" x14ac:dyDescent="0.2">
      <c r="A66" s="15"/>
      <c r="B66" s="15"/>
      <c r="C66" s="15"/>
      <c r="D66" s="15"/>
      <c r="E66" s="15"/>
      <c r="F66" s="15"/>
      <c r="G66" s="15"/>
      <c r="H66" s="15"/>
      <c r="I66" s="15"/>
      <c r="J66" s="15"/>
      <c r="K66" s="15"/>
      <c r="L66" s="15"/>
      <c r="M66" s="15"/>
      <c r="N66" s="15"/>
      <c r="O66" s="15"/>
      <c r="P66" s="15"/>
      <c r="Q66" s="15"/>
      <c r="R66" s="15"/>
      <c r="S66" s="15"/>
      <c r="T66" s="15"/>
      <c r="U66" s="15"/>
      <c r="V66" s="15"/>
      <c r="W66" s="15"/>
      <c r="X66" s="15"/>
      <c r="Y66" s="15"/>
      <c r="Z66" s="15"/>
    </row>
    <row r="67" spans="1:26" x14ac:dyDescent="0.2">
      <c r="A67" s="15"/>
      <c r="B67" s="15"/>
      <c r="C67" s="15"/>
      <c r="D67" s="15"/>
      <c r="E67" s="15"/>
      <c r="F67" s="15"/>
      <c r="G67" s="15"/>
      <c r="H67" s="15"/>
      <c r="I67" s="15"/>
      <c r="J67" s="15"/>
      <c r="K67" s="15"/>
      <c r="L67" s="15"/>
      <c r="M67" s="15"/>
      <c r="N67" s="15"/>
      <c r="O67" s="15"/>
      <c r="P67" s="15"/>
      <c r="Q67" s="15"/>
      <c r="R67" s="15"/>
      <c r="S67" s="15"/>
      <c r="T67" s="15"/>
      <c r="U67" s="15"/>
      <c r="V67" s="15"/>
      <c r="W67" s="15"/>
      <c r="X67" s="15"/>
      <c r="Y67" s="15"/>
      <c r="Z67" s="15"/>
    </row>
    <row r="68" spans="1:26" x14ac:dyDescent="0.2">
      <c r="A68" s="15"/>
      <c r="B68" s="15"/>
      <c r="C68" s="15"/>
      <c r="D68" s="15"/>
      <c r="E68" s="15"/>
      <c r="F68" s="15"/>
      <c r="G68" s="15"/>
      <c r="H68" s="15"/>
      <c r="I68" s="15"/>
      <c r="J68" s="15"/>
      <c r="K68" s="15"/>
      <c r="L68" s="15"/>
      <c r="M68" s="15"/>
      <c r="N68" s="15"/>
      <c r="O68" s="15"/>
      <c r="P68" s="15"/>
      <c r="Q68" s="15"/>
      <c r="R68" s="15"/>
      <c r="S68" s="15"/>
      <c r="T68" s="15"/>
      <c r="U68" s="15"/>
      <c r="V68" s="15"/>
      <c r="W68" s="15"/>
      <c r="X68" s="15"/>
      <c r="Y68" s="15"/>
      <c r="Z68" s="15"/>
    </row>
    <row r="69" spans="1:26" x14ac:dyDescent="0.2">
      <c r="A69" s="15"/>
      <c r="B69" s="15"/>
      <c r="C69" s="15"/>
      <c r="D69" s="15"/>
      <c r="E69" s="15"/>
      <c r="F69" s="15"/>
      <c r="G69" s="15"/>
      <c r="H69" s="15"/>
      <c r="I69" s="15"/>
      <c r="J69" s="15"/>
      <c r="K69" s="15"/>
      <c r="L69" s="15"/>
      <c r="M69" s="15"/>
      <c r="N69" s="15"/>
      <c r="O69" s="15"/>
      <c r="P69" s="15"/>
      <c r="Q69" s="15"/>
      <c r="R69" s="15"/>
      <c r="S69" s="15"/>
      <c r="T69" s="15"/>
      <c r="U69" s="15"/>
      <c r="V69" s="15"/>
      <c r="W69" s="15"/>
      <c r="X69" s="15"/>
      <c r="Y69" s="15"/>
      <c r="Z69" s="15"/>
    </row>
    <row r="70" spans="1:26" x14ac:dyDescent="0.2">
      <c r="A70" s="15"/>
      <c r="B70" s="15"/>
      <c r="C70" s="15"/>
      <c r="D70" s="15"/>
      <c r="E70" s="15"/>
      <c r="F70" s="15"/>
      <c r="G70" s="15"/>
      <c r="H70" s="15"/>
      <c r="I70" s="15"/>
      <c r="J70" s="15"/>
      <c r="K70" s="15"/>
      <c r="L70" s="15"/>
      <c r="M70" s="15"/>
      <c r="N70" s="15"/>
      <c r="O70" s="15"/>
      <c r="P70" s="15"/>
      <c r="Q70" s="15"/>
      <c r="R70" s="15"/>
      <c r="S70" s="15"/>
      <c r="T70" s="15"/>
      <c r="U70" s="15"/>
      <c r="V70" s="15"/>
      <c r="W70" s="15"/>
      <c r="X70" s="15"/>
      <c r="Y70" s="15"/>
      <c r="Z70" s="15"/>
    </row>
    <row r="71" spans="1:26" x14ac:dyDescent="0.2">
      <c r="A71" s="15"/>
      <c r="B71" s="15"/>
      <c r="C71" s="15"/>
      <c r="D71" s="15"/>
      <c r="E71" s="15"/>
      <c r="F71" s="15"/>
      <c r="G71" s="15"/>
      <c r="H71" s="15"/>
      <c r="I71" s="15"/>
      <c r="J71" s="15"/>
      <c r="K71" s="15"/>
      <c r="L71" s="15"/>
      <c r="M71" s="15"/>
      <c r="N71" s="15"/>
      <c r="O71" s="15"/>
      <c r="P71" s="15"/>
      <c r="Q71" s="15"/>
      <c r="R71" s="15"/>
      <c r="S71" s="15"/>
      <c r="T71" s="15"/>
      <c r="U71" s="15"/>
      <c r="V71" s="15"/>
      <c r="W71" s="15"/>
      <c r="X71" s="15"/>
      <c r="Y71" s="15"/>
      <c r="Z71" s="15"/>
    </row>
    <row r="72" spans="1:26" x14ac:dyDescent="0.2">
      <c r="A72" s="15"/>
      <c r="B72" s="15"/>
      <c r="C72" s="15"/>
      <c r="D72" s="15"/>
      <c r="E72" s="15"/>
      <c r="F72" s="15"/>
      <c r="G72" s="15"/>
      <c r="H72" s="15"/>
      <c r="I72" s="15"/>
      <c r="J72" s="15"/>
      <c r="K72" s="15"/>
      <c r="L72" s="15"/>
      <c r="M72" s="15"/>
      <c r="N72" s="15"/>
      <c r="O72" s="15"/>
      <c r="P72" s="15"/>
      <c r="Q72" s="15"/>
      <c r="R72" s="15"/>
      <c r="S72" s="15"/>
      <c r="T72" s="15"/>
      <c r="U72" s="15"/>
      <c r="V72" s="15"/>
      <c r="W72" s="15"/>
      <c r="X72" s="15"/>
      <c r="Y72" s="15"/>
      <c r="Z72" s="15"/>
    </row>
    <row r="73" spans="1:26" ht="19" x14ac:dyDescent="0.25">
      <c r="A73" s="15"/>
      <c r="B73" s="15"/>
      <c r="C73" s="15"/>
      <c r="D73" s="15"/>
      <c r="E73" s="15"/>
      <c r="F73" s="15"/>
      <c r="G73" s="15"/>
      <c r="H73" s="15"/>
      <c r="I73" s="15"/>
      <c r="J73" s="15"/>
      <c r="K73" s="15"/>
      <c r="L73" s="15"/>
      <c r="M73" s="28" t="s">
        <v>895</v>
      </c>
      <c r="N73" s="15"/>
      <c r="O73" s="15"/>
      <c r="P73" s="15"/>
      <c r="Q73" s="15"/>
      <c r="R73" s="15"/>
      <c r="S73" s="15"/>
      <c r="T73" s="15"/>
      <c r="U73" s="15"/>
      <c r="V73" s="15"/>
      <c r="W73" s="15"/>
      <c r="X73" s="15"/>
      <c r="Y73" s="15"/>
      <c r="Z73" s="15"/>
    </row>
    <row r="74" spans="1:26" x14ac:dyDescent="0.2">
      <c r="A74" s="15"/>
      <c r="B74" s="15"/>
      <c r="C74" s="15"/>
      <c r="D74" s="15"/>
      <c r="E74" s="15"/>
      <c r="F74" s="15"/>
      <c r="G74" s="15"/>
      <c r="H74" s="15"/>
      <c r="I74" s="15"/>
      <c r="J74" s="15"/>
      <c r="K74" s="15"/>
      <c r="L74" s="15"/>
      <c r="M74" s="15" t="s">
        <v>932</v>
      </c>
      <c r="N74" s="15"/>
      <c r="O74" s="15"/>
      <c r="P74" s="15"/>
      <c r="Q74" s="15"/>
      <c r="R74" s="15"/>
      <c r="S74" s="15"/>
      <c r="T74" s="15"/>
      <c r="U74" s="15"/>
      <c r="V74" s="15"/>
      <c r="W74" s="15"/>
      <c r="X74" s="15"/>
      <c r="Y74" s="15"/>
      <c r="Z74" s="15"/>
    </row>
    <row r="75" spans="1:26" x14ac:dyDescent="0.2">
      <c r="A75" s="15"/>
      <c r="B75" s="15"/>
      <c r="C75" s="15"/>
      <c r="D75" s="15"/>
      <c r="E75" s="15"/>
      <c r="F75" s="15"/>
      <c r="G75" s="15"/>
      <c r="H75" s="15"/>
      <c r="I75" s="15"/>
      <c r="J75" s="15"/>
      <c r="K75" s="15"/>
      <c r="L75" s="15"/>
      <c r="M75" s="15" t="s">
        <v>933</v>
      </c>
      <c r="N75" s="15"/>
      <c r="O75" s="15"/>
      <c r="P75" s="15"/>
      <c r="Q75" s="15"/>
      <c r="R75" s="15"/>
      <c r="S75" s="15"/>
      <c r="T75" s="15"/>
      <c r="U75" s="15"/>
      <c r="V75" s="15"/>
      <c r="W75" s="15"/>
      <c r="X75" s="15"/>
      <c r="Y75" s="15"/>
      <c r="Z75" s="15"/>
    </row>
    <row r="76" spans="1:26" x14ac:dyDescent="0.2">
      <c r="A76" s="15"/>
      <c r="B76" s="15"/>
      <c r="C76" s="15"/>
      <c r="D76" s="15"/>
      <c r="E76" s="15"/>
      <c r="F76" s="15"/>
      <c r="G76" s="15"/>
      <c r="H76" s="15"/>
      <c r="I76" s="15"/>
      <c r="J76" s="15"/>
      <c r="K76" s="15"/>
      <c r="L76" s="15"/>
      <c r="M76" s="15" t="s">
        <v>928</v>
      </c>
      <c r="N76" s="15"/>
      <c r="O76" s="15"/>
      <c r="P76" s="15"/>
      <c r="Q76" s="15"/>
      <c r="R76" s="15"/>
      <c r="S76" s="15"/>
      <c r="T76" s="15"/>
      <c r="U76" s="15"/>
      <c r="V76" s="15"/>
      <c r="W76" s="15"/>
      <c r="X76" s="15"/>
      <c r="Y76" s="15"/>
      <c r="Z76" s="15"/>
    </row>
    <row r="77" spans="1:26" x14ac:dyDescent="0.2">
      <c r="A77" s="15"/>
      <c r="B77" s="15"/>
      <c r="C77" s="15"/>
      <c r="D77" s="15"/>
      <c r="E77" s="15"/>
      <c r="F77" s="15"/>
      <c r="G77" s="15"/>
      <c r="H77" s="15"/>
      <c r="I77" s="15"/>
      <c r="J77" s="15"/>
      <c r="K77" s="15"/>
      <c r="L77" s="15"/>
      <c r="M77" s="15" t="s">
        <v>929</v>
      </c>
      <c r="N77" s="15"/>
      <c r="O77" s="15"/>
      <c r="P77" s="15"/>
      <c r="Q77" s="15"/>
      <c r="R77" s="15"/>
      <c r="S77" s="15"/>
      <c r="T77" s="15"/>
      <c r="U77" s="15"/>
      <c r="V77" s="15"/>
      <c r="W77" s="15"/>
      <c r="X77" s="15"/>
      <c r="Y77" s="15"/>
      <c r="Z77" s="15"/>
    </row>
    <row r="78" spans="1:26" x14ac:dyDescent="0.2">
      <c r="A78" s="15"/>
      <c r="B78" s="15"/>
      <c r="C78" s="15"/>
      <c r="D78" s="15"/>
      <c r="E78" s="15"/>
      <c r="F78" s="15"/>
      <c r="G78" s="15"/>
      <c r="H78" s="15"/>
      <c r="I78" s="15"/>
      <c r="J78" s="15"/>
      <c r="K78" s="15"/>
      <c r="L78" s="15"/>
      <c r="M78" s="15" t="s">
        <v>930</v>
      </c>
      <c r="N78" s="15"/>
      <c r="O78" s="15"/>
      <c r="P78" s="15"/>
      <c r="Q78" s="15"/>
      <c r="R78" s="15"/>
      <c r="S78" s="15"/>
      <c r="T78" s="15"/>
      <c r="U78" s="15"/>
      <c r="V78" s="15"/>
      <c r="W78" s="15"/>
      <c r="X78" s="15"/>
      <c r="Y78" s="15"/>
      <c r="Z78" s="15"/>
    </row>
    <row r="79" spans="1:26" x14ac:dyDescent="0.2">
      <c r="A79" s="15"/>
      <c r="B79" s="15"/>
      <c r="C79" s="15"/>
      <c r="D79" s="15"/>
      <c r="E79" s="15"/>
      <c r="F79" s="15"/>
      <c r="G79" s="15"/>
      <c r="H79" s="15"/>
      <c r="I79" s="15"/>
      <c r="J79" s="15"/>
      <c r="K79" s="15"/>
      <c r="L79" s="15"/>
      <c r="M79" s="15" t="s">
        <v>931</v>
      </c>
      <c r="N79" s="15"/>
      <c r="O79" s="15"/>
      <c r="P79" s="15"/>
      <c r="Q79" s="15"/>
      <c r="R79" s="15"/>
      <c r="S79" s="15"/>
      <c r="T79" s="15"/>
      <c r="U79" s="15"/>
      <c r="V79" s="15"/>
      <c r="W79" s="15"/>
      <c r="X79" s="15"/>
      <c r="Y79" s="15"/>
      <c r="Z79" s="15"/>
    </row>
    <row r="80" spans="1:26" x14ac:dyDescent="0.2">
      <c r="A80" s="15"/>
      <c r="B80" s="15"/>
      <c r="C80" s="15"/>
      <c r="D80" s="15"/>
      <c r="E80" s="15"/>
      <c r="F80" s="15"/>
      <c r="G80" s="15"/>
      <c r="H80" s="15"/>
      <c r="I80" s="15"/>
      <c r="J80" s="15"/>
      <c r="K80" s="15"/>
      <c r="L80" s="15"/>
      <c r="M80" s="15"/>
      <c r="N80" s="15"/>
      <c r="O80" s="15"/>
      <c r="P80" s="15"/>
      <c r="Q80" s="15"/>
      <c r="R80" s="15"/>
      <c r="S80" s="15"/>
      <c r="T80" s="15"/>
      <c r="U80" s="15"/>
      <c r="V80" s="15"/>
      <c r="W80" s="15"/>
      <c r="X80" s="15"/>
      <c r="Y80" s="15"/>
      <c r="Z80" s="15"/>
    </row>
    <row r="81" spans="1:26" x14ac:dyDescent="0.2">
      <c r="A81" s="15"/>
      <c r="B81" s="15"/>
      <c r="C81" s="15"/>
      <c r="D81" s="15"/>
      <c r="E81" s="15"/>
      <c r="F81" s="15"/>
      <c r="G81" s="15"/>
      <c r="H81" s="15"/>
      <c r="I81" s="15"/>
      <c r="J81" s="15"/>
      <c r="K81" s="15"/>
      <c r="L81" s="15"/>
      <c r="M81" s="15"/>
      <c r="N81" s="15"/>
      <c r="O81" s="15"/>
      <c r="P81" s="15"/>
      <c r="Q81" s="15"/>
      <c r="R81" s="15"/>
      <c r="S81" s="15"/>
      <c r="T81" s="15"/>
      <c r="U81" s="15"/>
      <c r="V81" s="15"/>
      <c r="W81" s="15"/>
      <c r="X81" s="15"/>
      <c r="Y81" s="15"/>
      <c r="Z81" s="15"/>
    </row>
    <row r="82" spans="1:26" ht="19" x14ac:dyDescent="0.25">
      <c r="A82" s="15"/>
      <c r="B82" s="15"/>
      <c r="C82" s="15"/>
      <c r="D82" s="15"/>
      <c r="E82" s="15"/>
      <c r="F82" s="15"/>
      <c r="G82" s="15"/>
      <c r="H82" s="15"/>
      <c r="I82" s="15"/>
      <c r="J82" s="15"/>
      <c r="K82" s="15"/>
      <c r="L82" s="15"/>
      <c r="M82" s="34" t="s">
        <v>912</v>
      </c>
      <c r="N82" s="15"/>
      <c r="O82" s="15"/>
      <c r="P82" s="15"/>
      <c r="Q82" s="15"/>
      <c r="R82" s="15"/>
      <c r="S82" s="15"/>
      <c r="T82" s="15"/>
      <c r="U82" s="15"/>
      <c r="V82" s="15"/>
      <c r="W82" s="15"/>
      <c r="X82" s="15"/>
      <c r="Y82" s="15"/>
      <c r="Z82" s="15"/>
    </row>
    <row r="83" spans="1:26" ht="16" customHeight="1" x14ac:dyDescent="0.2">
      <c r="A83" s="15"/>
      <c r="B83" s="15"/>
      <c r="C83" s="15"/>
      <c r="D83" s="15"/>
      <c r="E83" s="15"/>
      <c r="F83" s="15"/>
      <c r="G83" s="15"/>
      <c r="H83" s="15"/>
      <c r="I83" s="15"/>
      <c r="J83" s="15"/>
      <c r="K83" s="15"/>
      <c r="L83" s="15"/>
      <c r="M83" s="50" t="s">
        <v>934</v>
      </c>
      <c r="N83" s="50"/>
      <c r="O83" s="50"/>
      <c r="P83" s="50"/>
      <c r="Q83" s="50"/>
      <c r="R83" s="50"/>
      <c r="S83" s="50"/>
      <c r="T83" s="50"/>
      <c r="U83" s="21"/>
      <c r="V83" s="15"/>
      <c r="W83" s="15"/>
      <c r="X83" s="15"/>
      <c r="Y83" s="15"/>
      <c r="Z83" s="15"/>
    </row>
    <row r="84" spans="1:26" ht="16" customHeight="1" x14ac:dyDescent="0.2">
      <c r="A84" s="15"/>
      <c r="B84" s="15"/>
      <c r="C84" s="15"/>
      <c r="D84" s="15"/>
      <c r="E84" s="15"/>
      <c r="F84" s="15"/>
      <c r="G84" s="15"/>
      <c r="H84" s="15"/>
      <c r="I84" s="15"/>
      <c r="J84" s="15"/>
      <c r="K84" s="15"/>
      <c r="L84" s="15"/>
      <c r="M84" s="50"/>
      <c r="N84" s="50"/>
      <c r="O84" s="50"/>
      <c r="P84" s="50"/>
      <c r="Q84" s="50"/>
      <c r="R84" s="50"/>
      <c r="S84" s="50"/>
      <c r="T84" s="50"/>
      <c r="U84" s="21"/>
      <c r="V84" s="15"/>
      <c r="W84" s="15"/>
      <c r="X84" s="15"/>
      <c r="Y84" s="15"/>
      <c r="Z84" s="15"/>
    </row>
    <row r="85" spans="1:26" x14ac:dyDescent="0.2">
      <c r="A85" s="15"/>
      <c r="B85" s="15"/>
      <c r="C85" s="15"/>
      <c r="D85" s="15"/>
      <c r="E85" s="15"/>
      <c r="F85" s="15"/>
      <c r="G85" s="15"/>
      <c r="H85" s="15"/>
      <c r="I85" s="15"/>
      <c r="J85" s="15"/>
      <c r="K85" s="15"/>
      <c r="L85" s="15"/>
      <c r="M85" s="50"/>
      <c r="N85" s="50"/>
      <c r="O85" s="50"/>
      <c r="P85" s="50"/>
      <c r="Q85" s="50"/>
      <c r="R85" s="50"/>
      <c r="S85" s="50"/>
      <c r="T85" s="50"/>
      <c r="U85" s="15"/>
      <c r="V85" s="15"/>
      <c r="W85" s="15"/>
      <c r="X85" s="15"/>
      <c r="Y85" s="15"/>
      <c r="Z85" s="15"/>
    </row>
    <row r="86" spans="1:26" x14ac:dyDescent="0.2">
      <c r="A86" s="15"/>
      <c r="B86" s="15"/>
      <c r="C86" s="15"/>
      <c r="D86" s="15"/>
      <c r="E86" s="15"/>
      <c r="F86" s="15"/>
      <c r="G86" s="15"/>
      <c r="H86" s="15"/>
      <c r="I86" s="15"/>
      <c r="J86" s="15"/>
      <c r="K86" s="15"/>
      <c r="L86" s="15"/>
      <c r="M86" s="15"/>
      <c r="N86" s="15"/>
      <c r="O86" s="15"/>
      <c r="P86" s="15"/>
      <c r="Q86" s="15"/>
      <c r="R86" s="15"/>
      <c r="S86" s="15"/>
      <c r="T86" s="15"/>
      <c r="U86" s="15"/>
      <c r="V86" s="15"/>
      <c r="W86" s="15"/>
      <c r="X86" s="15"/>
      <c r="Y86" s="15"/>
      <c r="Z86" s="15"/>
    </row>
    <row r="87" spans="1:26" x14ac:dyDescent="0.2">
      <c r="A87" s="15"/>
      <c r="B87" s="15"/>
      <c r="C87" s="15"/>
      <c r="D87" s="15"/>
      <c r="E87" s="15"/>
      <c r="F87" s="15"/>
      <c r="G87" s="15"/>
      <c r="H87" s="15"/>
      <c r="I87" s="15"/>
      <c r="J87" s="15"/>
      <c r="K87" s="15"/>
      <c r="L87" s="15"/>
      <c r="M87" s="15"/>
      <c r="N87" s="15"/>
      <c r="O87" s="15"/>
      <c r="P87" s="15"/>
      <c r="Q87" s="15"/>
      <c r="R87" s="15"/>
      <c r="S87" s="15"/>
      <c r="T87" s="15"/>
      <c r="U87" s="15"/>
      <c r="V87" s="15"/>
      <c r="W87" s="15"/>
      <c r="X87" s="15"/>
      <c r="Y87" s="15"/>
      <c r="Z87" s="15"/>
    </row>
    <row r="88" spans="1:26" x14ac:dyDescent="0.2">
      <c r="A88" s="15"/>
      <c r="B88" s="15"/>
      <c r="C88" s="15"/>
      <c r="D88" s="15"/>
      <c r="E88" s="15"/>
      <c r="F88" s="15"/>
      <c r="G88" s="15"/>
      <c r="H88" s="15"/>
      <c r="I88" s="15"/>
      <c r="J88" s="15"/>
      <c r="K88" s="15"/>
      <c r="L88" s="15"/>
      <c r="M88" s="15"/>
      <c r="N88" s="15"/>
      <c r="O88" s="15"/>
      <c r="P88" s="15"/>
      <c r="Q88" s="15"/>
      <c r="R88" s="15"/>
      <c r="S88" s="15"/>
      <c r="T88" s="15"/>
      <c r="U88" s="15"/>
      <c r="V88" s="15"/>
      <c r="W88" s="15"/>
      <c r="X88" s="15"/>
      <c r="Y88" s="15"/>
      <c r="Z88" s="15"/>
    </row>
    <row r="89" spans="1:26" x14ac:dyDescent="0.2">
      <c r="A89" s="15"/>
      <c r="B89" s="15"/>
      <c r="C89" s="15"/>
      <c r="D89" s="15"/>
      <c r="E89" s="15"/>
      <c r="F89" s="15"/>
      <c r="G89" s="15"/>
      <c r="H89" s="15"/>
      <c r="I89" s="15"/>
      <c r="J89" s="15"/>
      <c r="K89" s="15"/>
      <c r="L89" s="15"/>
      <c r="M89" s="15"/>
      <c r="N89" s="15"/>
      <c r="O89" s="15"/>
      <c r="P89" s="15"/>
      <c r="Q89" s="15"/>
      <c r="R89" s="15"/>
      <c r="S89" s="15"/>
      <c r="T89" s="15"/>
      <c r="U89" s="15"/>
      <c r="V89" s="15"/>
      <c r="W89" s="15"/>
      <c r="X89" s="15"/>
      <c r="Y89" s="15"/>
      <c r="Z89" s="15"/>
    </row>
    <row r="90" spans="1:26" x14ac:dyDescent="0.2">
      <c r="A90" s="15"/>
      <c r="B90" s="15"/>
      <c r="C90" s="15"/>
      <c r="D90" s="15"/>
      <c r="E90" s="15"/>
      <c r="F90" s="15"/>
      <c r="G90" s="15"/>
      <c r="H90" s="15"/>
      <c r="I90" s="15"/>
      <c r="J90" s="15"/>
      <c r="K90" s="15"/>
      <c r="L90" s="15"/>
      <c r="M90" s="15"/>
      <c r="N90" s="25"/>
      <c r="O90" s="15"/>
      <c r="P90" s="15"/>
      <c r="Q90" s="15"/>
      <c r="R90" s="15"/>
      <c r="S90" s="15"/>
      <c r="T90" s="15"/>
      <c r="U90" s="15"/>
      <c r="V90" s="15"/>
      <c r="W90" s="15"/>
      <c r="X90" s="15"/>
      <c r="Y90" s="15"/>
      <c r="Z90" s="15"/>
    </row>
    <row r="91" spans="1:26" x14ac:dyDescent="0.2">
      <c r="A91" s="15"/>
      <c r="B91" s="15"/>
      <c r="C91" s="15"/>
      <c r="D91" s="15"/>
      <c r="E91" s="15"/>
      <c r="F91" s="15"/>
      <c r="G91" s="15"/>
      <c r="H91" s="15"/>
      <c r="I91" s="15"/>
      <c r="J91" s="15"/>
      <c r="K91" s="15"/>
      <c r="L91" s="15"/>
      <c r="M91" s="15"/>
      <c r="N91" s="15"/>
      <c r="O91" s="15"/>
      <c r="P91" s="15"/>
      <c r="Q91" s="15"/>
      <c r="R91" s="15"/>
      <c r="S91" s="15"/>
      <c r="T91" s="15"/>
      <c r="U91" s="15"/>
      <c r="V91" s="15"/>
      <c r="W91" s="15"/>
      <c r="X91" s="15"/>
      <c r="Y91" s="15"/>
      <c r="Z91" s="15"/>
    </row>
    <row r="92" spans="1:26" x14ac:dyDescent="0.2">
      <c r="A92" s="15"/>
      <c r="B92" s="15"/>
      <c r="C92" s="15"/>
      <c r="D92" s="15"/>
      <c r="E92" s="15"/>
      <c r="F92" s="15"/>
      <c r="G92" s="15"/>
      <c r="H92" s="15"/>
      <c r="I92" s="15"/>
      <c r="J92" s="15"/>
      <c r="K92" s="15"/>
      <c r="L92" s="15"/>
      <c r="M92" s="15"/>
      <c r="N92" s="15"/>
      <c r="O92" s="15"/>
      <c r="P92" s="15"/>
      <c r="Q92" s="15"/>
      <c r="R92" s="15"/>
      <c r="S92" s="15"/>
      <c r="T92" s="15"/>
      <c r="U92" s="15"/>
      <c r="V92" s="15"/>
      <c r="W92" s="15"/>
      <c r="X92" s="15"/>
      <c r="Y92" s="15"/>
      <c r="Z92" s="15"/>
    </row>
    <row r="93" spans="1:26" x14ac:dyDescent="0.2">
      <c r="A93" s="15"/>
      <c r="B93" s="15"/>
      <c r="C93" s="15"/>
      <c r="D93" s="15"/>
      <c r="E93" s="15"/>
      <c r="F93" s="15"/>
      <c r="G93" s="15"/>
      <c r="H93" s="15"/>
      <c r="I93" s="15"/>
      <c r="J93" s="15"/>
      <c r="K93" s="15"/>
      <c r="L93" s="15"/>
      <c r="M93" s="15"/>
      <c r="N93" s="15"/>
      <c r="O93" s="15"/>
      <c r="P93" s="15"/>
      <c r="Q93" s="15"/>
      <c r="R93" s="15"/>
      <c r="S93" s="15"/>
      <c r="T93" s="15"/>
      <c r="U93" s="15"/>
      <c r="V93" s="15"/>
      <c r="W93" s="15"/>
      <c r="X93" s="15"/>
      <c r="Y93" s="15"/>
      <c r="Z93" s="15"/>
    </row>
    <row r="94" spans="1:26" x14ac:dyDescent="0.2">
      <c r="A94" s="15"/>
      <c r="B94" s="15"/>
      <c r="C94" s="15"/>
      <c r="D94" s="15"/>
      <c r="E94" s="15"/>
      <c r="F94" s="15"/>
      <c r="G94" s="15"/>
      <c r="H94" s="15"/>
      <c r="I94" s="15"/>
      <c r="J94" s="15"/>
      <c r="K94" s="15"/>
      <c r="L94" s="15"/>
      <c r="M94" s="15"/>
      <c r="N94" s="15"/>
      <c r="O94" s="15"/>
      <c r="P94" s="15"/>
      <c r="Q94" s="15"/>
      <c r="R94" s="15"/>
      <c r="S94" s="15"/>
      <c r="T94" s="15"/>
      <c r="U94" s="15"/>
      <c r="V94" s="15"/>
      <c r="W94" s="15"/>
      <c r="X94" s="15"/>
      <c r="Y94" s="15"/>
      <c r="Z94" s="15"/>
    </row>
    <row r="95" spans="1:26" x14ac:dyDescent="0.2">
      <c r="A95" s="15"/>
      <c r="B95" s="15"/>
      <c r="C95" s="15"/>
      <c r="D95" s="15"/>
      <c r="E95" s="15"/>
      <c r="F95" s="15"/>
      <c r="G95" s="15"/>
      <c r="H95" s="15"/>
      <c r="I95" s="15"/>
      <c r="J95" s="15"/>
      <c r="K95" s="15"/>
      <c r="L95" s="15"/>
      <c r="M95" s="15"/>
      <c r="N95" s="15"/>
      <c r="O95" s="15"/>
      <c r="P95" s="15"/>
      <c r="Q95" s="15"/>
      <c r="R95" s="15"/>
      <c r="S95" s="15"/>
      <c r="T95" s="15"/>
      <c r="U95" s="15"/>
      <c r="V95" s="15"/>
      <c r="W95" s="15"/>
      <c r="X95" s="15"/>
      <c r="Y95" s="15"/>
      <c r="Z95" s="15"/>
    </row>
    <row r="96" spans="1:26" x14ac:dyDescent="0.2">
      <c r="A96" s="15"/>
      <c r="B96" s="15"/>
      <c r="C96" s="15"/>
      <c r="D96" s="15"/>
      <c r="E96" s="15"/>
      <c r="F96" s="15"/>
      <c r="G96" s="15"/>
      <c r="H96" s="15"/>
      <c r="I96" s="15"/>
      <c r="J96" s="15"/>
      <c r="K96" s="15"/>
      <c r="L96" s="15"/>
      <c r="M96" s="15"/>
      <c r="N96" s="15"/>
      <c r="O96" s="15"/>
      <c r="P96" s="15"/>
      <c r="Q96" s="15"/>
      <c r="R96" s="15"/>
      <c r="S96" s="15"/>
      <c r="T96" s="15"/>
      <c r="U96" s="15"/>
      <c r="V96" s="15"/>
      <c r="W96" s="15"/>
      <c r="X96" s="15"/>
      <c r="Y96" s="15"/>
      <c r="Z96" s="15"/>
    </row>
    <row r="97" spans="1:26" x14ac:dyDescent="0.2">
      <c r="A97" s="15"/>
      <c r="B97" s="15"/>
      <c r="C97" s="15"/>
      <c r="D97" s="15"/>
      <c r="E97" s="15"/>
      <c r="F97" s="15"/>
      <c r="G97" s="15"/>
      <c r="H97" s="15"/>
      <c r="I97" s="15"/>
      <c r="J97" s="15"/>
      <c r="K97" s="15"/>
      <c r="L97" s="15"/>
      <c r="M97" s="15"/>
      <c r="N97" s="15"/>
      <c r="O97" s="15"/>
      <c r="P97" s="15"/>
      <c r="Q97" s="15"/>
      <c r="R97" s="15"/>
      <c r="S97" s="15"/>
      <c r="T97" s="15"/>
      <c r="U97" s="15"/>
      <c r="V97" s="15"/>
      <c r="W97" s="15"/>
      <c r="X97" s="15"/>
      <c r="Y97" s="15"/>
      <c r="Z97" s="15"/>
    </row>
    <row r="98" spans="1:26" x14ac:dyDescent="0.2">
      <c r="A98" s="15"/>
      <c r="B98" s="15"/>
      <c r="C98" s="15"/>
      <c r="D98" s="15"/>
      <c r="E98" s="15"/>
      <c r="F98" s="15"/>
      <c r="G98" s="15"/>
      <c r="H98" s="15"/>
      <c r="I98" s="15"/>
      <c r="J98" s="15"/>
      <c r="K98" s="15"/>
      <c r="L98" s="15"/>
      <c r="M98" s="15"/>
      <c r="N98" s="15"/>
      <c r="O98" s="15"/>
      <c r="P98" s="15"/>
      <c r="Q98" s="15"/>
      <c r="R98" s="15"/>
      <c r="S98" s="15"/>
      <c r="T98" s="15"/>
      <c r="U98" s="15"/>
      <c r="V98" s="15"/>
      <c r="W98" s="15"/>
      <c r="X98" s="15"/>
      <c r="Y98" s="15"/>
      <c r="Z98" s="15"/>
    </row>
    <row r="99" spans="1:26" x14ac:dyDescent="0.2">
      <c r="A99" s="15"/>
      <c r="B99" s="15"/>
      <c r="C99" s="15"/>
      <c r="D99" s="15"/>
      <c r="E99" s="15"/>
      <c r="F99" s="15"/>
      <c r="G99" s="15"/>
      <c r="H99" s="15"/>
      <c r="I99" s="15"/>
      <c r="J99" s="15"/>
      <c r="K99" s="15"/>
      <c r="L99" s="15"/>
      <c r="M99" s="15"/>
      <c r="N99" s="15"/>
      <c r="O99" s="15"/>
      <c r="P99" s="15"/>
      <c r="Q99" s="15"/>
      <c r="R99" s="15"/>
      <c r="S99" s="15"/>
      <c r="T99" s="15"/>
      <c r="U99" s="15"/>
      <c r="V99" s="15"/>
      <c r="W99" s="15"/>
      <c r="X99" s="15"/>
      <c r="Y99" s="15"/>
      <c r="Z99" s="15"/>
    </row>
    <row r="100" spans="1:26" x14ac:dyDescent="0.2">
      <c r="A100" s="15"/>
      <c r="B100" s="15"/>
      <c r="C100" s="15"/>
      <c r="D100" s="15"/>
      <c r="E100" s="15"/>
      <c r="F100" s="15"/>
      <c r="G100" s="15"/>
      <c r="H100" s="15"/>
      <c r="I100" s="15"/>
      <c r="J100" s="15"/>
      <c r="K100" s="15"/>
      <c r="L100" s="15"/>
      <c r="M100" s="15"/>
      <c r="N100" s="15"/>
      <c r="O100" s="15"/>
      <c r="P100" s="15"/>
      <c r="Q100" s="15"/>
      <c r="R100" s="15"/>
      <c r="S100" s="15"/>
      <c r="T100" s="15"/>
      <c r="U100" s="15"/>
      <c r="V100" s="15"/>
      <c r="W100" s="15"/>
      <c r="X100" s="15"/>
      <c r="Y100" s="15"/>
      <c r="Z100" s="15"/>
    </row>
    <row r="101" spans="1:26" x14ac:dyDescent="0.2">
      <c r="A101" s="15"/>
      <c r="B101" s="15"/>
      <c r="C101" s="15"/>
      <c r="D101" s="15"/>
      <c r="E101" s="15"/>
      <c r="F101" s="15"/>
      <c r="G101" s="15"/>
      <c r="H101" s="15"/>
      <c r="I101" s="15"/>
      <c r="J101" s="15"/>
      <c r="K101" s="15"/>
      <c r="L101" s="15"/>
      <c r="M101" s="15"/>
      <c r="N101" s="15"/>
      <c r="O101" s="15"/>
      <c r="P101" s="15"/>
      <c r="Q101" s="15"/>
      <c r="R101" s="15"/>
      <c r="S101" s="15"/>
      <c r="T101" s="15"/>
      <c r="U101" s="15"/>
      <c r="V101" s="15"/>
      <c r="W101" s="15"/>
      <c r="X101" s="15"/>
      <c r="Y101" s="15"/>
      <c r="Z101" s="15"/>
    </row>
    <row r="102" spans="1:26" x14ac:dyDescent="0.2">
      <c r="A102" s="15"/>
      <c r="B102" s="15"/>
      <c r="C102" s="15"/>
      <c r="D102" s="15"/>
      <c r="E102" s="15"/>
      <c r="F102" s="15"/>
      <c r="G102" s="15"/>
      <c r="H102" s="15"/>
      <c r="I102" s="15"/>
      <c r="J102" s="15"/>
      <c r="K102" s="15"/>
      <c r="L102" s="15"/>
      <c r="M102" s="15"/>
      <c r="N102" s="15"/>
      <c r="O102" s="15"/>
      <c r="P102" s="15"/>
      <c r="Q102" s="15"/>
      <c r="R102" s="15"/>
      <c r="S102" s="15"/>
      <c r="T102" s="15"/>
      <c r="U102" s="15"/>
      <c r="V102" s="15"/>
      <c r="W102" s="15"/>
      <c r="X102" s="15"/>
      <c r="Y102" s="15"/>
      <c r="Z102" s="15"/>
    </row>
  </sheetData>
  <mergeCells count="1">
    <mergeCell ref="M83:T85"/>
  </mergeCells>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3FCFBE-B687-CB45-92D8-A3CCCA8FD09A}">
  <dimension ref="A1:V248"/>
  <sheetViews>
    <sheetView zoomScale="50" zoomScaleNormal="50" workbookViewId="0"/>
  </sheetViews>
  <sheetFormatPr baseColWidth="10" defaultRowHeight="16" x14ac:dyDescent="0.2"/>
  <cols>
    <col min="1" max="1" width="15.1640625" bestFit="1" customWidth="1"/>
    <col min="2" max="2" width="14.1640625" bestFit="1" customWidth="1"/>
    <col min="11" max="11" width="10.83203125" customWidth="1"/>
    <col min="14" max="14" width="15.1640625" bestFit="1" customWidth="1"/>
    <col min="15" max="15" width="18.5" bestFit="1" customWidth="1"/>
    <col min="16" max="16" width="40.1640625" bestFit="1" customWidth="1"/>
    <col min="17" max="17" width="38.5" bestFit="1" customWidth="1"/>
  </cols>
  <sheetData>
    <row r="1" spans="1:2" x14ac:dyDescent="0.2">
      <c r="A1" s="37" t="s">
        <v>855</v>
      </c>
      <c r="B1" s="37" t="s">
        <v>837</v>
      </c>
    </row>
    <row r="2" spans="1:2" x14ac:dyDescent="0.2">
      <c r="A2" s="7">
        <v>2.92</v>
      </c>
      <c r="B2" s="7">
        <v>11.06</v>
      </c>
    </row>
    <row r="3" spans="1:2" x14ac:dyDescent="0.2">
      <c r="A3" s="7">
        <v>7.79</v>
      </c>
      <c r="B3" s="7">
        <v>9.64</v>
      </c>
    </row>
    <row r="4" spans="1:2" x14ac:dyDescent="0.2">
      <c r="A4" s="7">
        <v>6.68</v>
      </c>
      <c r="B4" s="7">
        <v>21.3</v>
      </c>
    </row>
    <row r="5" spans="1:2" x14ac:dyDescent="0.2">
      <c r="A5" s="7">
        <v>8.23</v>
      </c>
      <c r="B5" s="7">
        <v>10.06</v>
      </c>
    </row>
    <row r="6" spans="1:2" x14ac:dyDescent="0.2">
      <c r="A6" s="7">
        <v>2.41</v>
      </c>
      <c r="B6" s="7">
        <v>16.940000000000001</v>
      </c>
    </row>
    <row r="7" spans="1:2" x14ac:dyDescent="0.2">
      <c r="A7" s="7">
        <v>9.26</v>
      </c>
      <c r="B7" s="7">
        <v>31.74</v>
      </c>
    </row>
    <row r="8" spans="1:2" x14ac:dyDescent="0.2">
      <c r="A8" s="7">
        <v>4.1399999999999997</v>
      </c>
      <c r="B8" s="7">
        <v>37.090000000000003</v>
      </c>
    </row>
    <row r="9" spans="1:2" x14ac:dyDescent="0.2">
      <c r="A9" s="7">
        <v>2.89</v>
      </c>
      <c r="B9" s="7">
        <v>15.09</v>
      </c>
    </row>
    <row r="10" spans="1:2" x14ac:dyDescent="0.2">
      <c r="A10" s="7">
        <v>2.34</v>
      </c>
      <c r="B10" s="7">
        <v>39.130000000000003</v>
      </c>
    </row>
    <row r="11" spans="1:2" x14ac:dyDescent="0.2">
      <c r="A11" s="7">
        <v>7.95</v>
      </c>
      <c r="B11" s="7">
        <v>14.76</v>
      </c>
    </row>
    <row r="12" spans="1:2" x14ac:dyDescent="0.2">
      <c r="A12" s="7">
        <v>7.71</v>
      </c>
      <c r="B12" s="7">
        <v>16.239999999999998</v>
      </c>
    </row>
    <row r="13" spans="1:2" x14ac:dyDescent="0.2">
      <c r="A13" s="7">
        <v>8.5399999999999991</v>
      </c>
      <c r="B13" s="7">
        <v>19.13</v>
      </c>
    </row>
    <row r="14" spans="1:2" x14ac:dyDescent="0.2">
      <c r="A14" s="7">
        <v>3.56</v>
      </c>
      <c r="B14" s="7">
        <v>12.65</v>
      </c>
    </row>
    <row r="15" spans="1:2" x14ac:dyDescent="0.2">
      <c r="A15" s="7">
        <v>7.91</v>
      </c>
      <c r="B15" s="7">
        <v>21.85</v>
      </c>
    </row>
    <row r="16" spans="1:2" x14ac:dyDescent="0.2">
      <c r="A16" s="7">
        <v>9.14</v>
      </c>
      <c r="B16" s="7">
        <v>22.87</v>
      </c>
    </row>
    <row r="17" spans="1:2" x14ac:dyDescent="0.2">
      <c r="A17" s="7">
        <v>5.05</v>
      </c>
      <c r="B17" s="7">
        <v>37.340000000000003</v>
      </c>
    </row>
    <row r="18" spans="1:2" x14ac:dyDescent="0.2">
      <c r="A18" s="7">
        <v>4.51</v>
      </c>
      <c r="B18" s="7">
        <v>26.28</v>
      </c>
    </row>
    <row r="19" spans="1:2" x14ac:dyDescent="0.2">
      <c r="A19" s="7">
        <v>4.7300000000000004</v>
      </c>
      <c r="B19" s="7">
        <v>21.01</v>
      </c>
    </row>
    <row r="20" spans="1:2" x14ac:dyDescent="0.2">
      <c r="A20" s="7">
        <v>8.6</v>
      </c>
      <c r="B20" s="7">
        <v>38.840000000000003</v>
      </c>
    </row>
    <row r="21" spans="1:2" x14ac:dyDescent="0.2">
      <c r="A21" s="7">
        <v>6.04</v>
      </c>
      <c r="B21" s="7">
        <v>16.84</v>
      </c>
    </row>
    <row r="22" spans="1:2" x14ac:dyDescent="0.2">
      <c r="A22" s="7">
        <v>8.2799999999999994</v>
      </c>
      <c r="B22" s="7">
        <v>9.98</v>
      </c>
    </row>
    <row r="23" spans="1:2" x14ac:dyDescent="0.2">
      <c r="A23" s="7">
        <v>3.5</v>
      </c>
      <c r="B23" s="7">
        <v>9.51</v>
      </c>
    </row>
    <row r="24" spans="1:2" x14ac:dyDescent="0.2">
      <c r="A24" s="7">
        <v>9.7899999999999991</v>
      </c>
      <c r="B24" s="7">
        <v>14.96</v>
      </c>
    </row>
    <row r="25" spans="1:2" x14ac:dyDescent="0.2">
      <c r="A25" s="7">
        <v>6.5</v>
      </c>
      <c r="B25" s="7">
        <v>38.770000000000003</v>
      </c>
    </row>
    <row r="26" spans="1:2" x14ac:dyDescent="0.2">
      <c r="A26" s="7">
        <v>5.89</v>
      </c>
      <c r="B26" s="7">
        <v>11.24</v>
      </c>
    </row>
    <row r="27" spans="1:2" x14ac:dyDescent="0.2">
      <c r="A27" s="7">
        <v>4.92</v>
      </c>
      <c r="B27" s="7">
        <v>16.86</v>
      </c>
    </row>
    <row r="28" spans="1:2" x14ac:dyDescent="0.2">
      <c r="A28" s="7">
        <v>6.41</v>
      </c>
      <c r="B28" s="7">
        <v>22.95</v>
      </c>
    </row>
    <row r="29" spans="1:2" x14ac:dyDescent="0.2">
      <c r="A29" s="7">
        <v>4.62</v>
      </c>
      <c r="B29" s="7">
        <v>15.72</v>
      </c>
    </row>
    <row r="30" spans="1:2" x14ac:dyDescent="0.2">
      <c r="A30" s="7">
        <v>9.43</v>
      </c>
      <c r="B30" s="7">
        <v>22.18</v>
      </c>
    </row>
    <row r="31" spans="1:2" x14ac:dyDescent="0.2">
      <c r="A31" s="7">
        <v>2.12</v>
      </c>
      <c r="B31" s="7">
        <v>12.1</v>
      </c>
    </row>
    <row r="32" spans="1:2" x14ac:dyDescent="0.2">
      <c r="A32" s="7">
        <v>7.57</v>
      </c>
      <c r="B32" s="7">
        <v>33.93</v>
      </c>
    </row>
    <row r="33" spans="1:16" x14ac:dyDescent="0.2">
      <c r="A33" s="7">
        <v>4.4400000000000004</v>
      </c>
      <c r="B33" s="7">
        <v>11.45</v>
      </c>
    </row>
    <row r="34" spans="1:16" x14ac:dyDescent="0.2">
      <c r="A34" s="7">
        <v>2.58</v>
      </c>
      <c r="B34" s="7">
        <v>32.08</v>
      </c>
    </row>
    <row r="35" spans="1:16" x14ac:dyDescent="0.2">
      <c r="A35" s="7">
        <v>5.78</v>
      </c>
      <c r="B35" s="7">
        <v>13.75</v>
      </c>
    </row>
    <row r="36" spans="1:16" x14ac:dyDescent="0.2">
      <c r="A36" s="7">
        <v>6.9</v>
      </c>
      <c r="B36" s="7">
        <v>9.15</v>
      </c>
    </row>
    <row r="37" spans="1:16" x14ac:dyDescent="0.2">
      <c r="A37" s="7">
        <v>8.35</v>
      </c>
      <c r="B37" s="7">
        <v>33</v>
      </c>
    </row>
    <row r="38" spans="1:16" x14ac:dyDescent="0.2">
      <c r="A38" s="7">
        <v>8.64</v>
      </c>
      <c r="B38" s="7">
        <v>13.41</v>
      </c>
    </row>
    <row r="39" spans="1:16" x14ac:dyDescent="0.2">
      <c r="A39" s="7">
        <v>3.42</v>
      </c>
      <c r="B39" s="7">
        <v>21.39</v>
      </c>
    </row>
    <row r="40" spans="1:16" x14ac:dyDescent="0.2">
      <c r="A40" s="7">
        <v>7.36</v>
      </c>
      <c r="B40" s="7">
        <v>16.36</v>
      </c>
    </row>
    <row r="41" spans="1:16" x14ac:dyDescent="0.2">
      <c r="A41" s="7">
        <v>4.79</v>
      </c>
      <c r="B41" s="7">
        <v>25.73</v>
      </c>
    </row>
    <row r="42" spans="1:16" x14ac:dyDescent="0.2">
      <c r="A42" s="7">
        <v>8.67</v>
      </c>
      <c r="B42" s="7">
        <v>22.26</v>
      </c>
    </row>
    <row r="43" spans="1:16" x14ac:dyDescent="0.2">
      <c r="A43" s="7">
        <v>5.54</v>
      </c>
      <c r="B43" s="7">
        <v>15.7</v>
      </c>
    </row>
    <row r="44" spans="1:16" x14ac:dyDescent="0.2">
      <c r="A44" s="7">
        <v>5.8</v>
      </c>
      <c r="B44" s="7">
        <v>24.7</v>
      </c>
    </row>
    <row r="45" spans="1:16" x14ac:dyDescent="0.2">
      <c r="A45" s="7">
        <v>9.86</v>
      </c>
      <c r="B45" s="7">
        <v>16.600000000000001</v>
      </c>
    </row>
    <row r="46" spans="1:16" x14ac:dyDescent="0.2">
      <c r="A46" s="7">
        <v>8.4700000000000006</v>
      </c>
      <c r="B46" s="7">
        <v>14.99</v>
      </c>
    </row>
    <row r="47" spans="1:16" x14ac:dyDescent="0.2">
      <c r="A47" s="7">
        <v>2.5299999999999998</v>
      </c>
      <c r="B47" s="7">
        <v>11.46</v>
      </c>
    </row>
    <row r="48" spans="1:16" x14ac:dyDescent="0.2">
      <c r="A48" s="7">
        <v>2.6</v>
      </c>
      <c r="B48" s="7">
        <v>8.4</v>
      </c>
      <c r="N48" s="6" t="s">
        <v>940</v>
      </c>
      <c r="O48" s="2" t="s">
        <v>896</v>
      </c>
      <c r="P48" s="3" t="s">
        <v>941</v>
      </c>
    </row>
    <row r="49" spans="1:16" x14ac:dyDescent="0.2">
      <c r="A49" s="7">
        <v>3.61</v>
      </c>
      <c r="B49" s="7">
        <v>17.649999999999999</v>
      </c>
      <c r="N49" s="5" t="s">
        <v>942</v>
      </c>
      <c r="O49" s="38" t="s">
        <v>943</v>
      </c>
      <c r="P49" s="38" t="s">
        <v>944</v>
      </c>
    </row>
    <row r="50" spans="1:16" x14ac:dyDescent="0.2">
      <c r="A50" s="7">
        <v>5.79</v>
      </c>
      <c r="B50" s="7">
        <v>12.27</v>
      </c>
      <c r="N50" s="5" t="s">
        <v>945</v>
      </c>
      <c r="O50" s="38" t="s">
        <v>946</v>
      </c>
      <c r="P50" s="38" t="s">
        <v>947</v>
      </c>
    </row>
    <row r="51" spans="1:16" x14ac:dyDescent="0.2">
      <c r="A51" s="7">
        <v>4.18</v>
      </c>
      <c r="B51" s="7">
        <v>14.26</v>
      </c>
      <c r="N51" s="5" t="s">
        <v>948</v>
      </c>
      <c r="O51" s="38" t="s">
        <v>949</v>
      </c>
      <c r="P51" s="38" t="s">
        <v>950</v>
      </c>
    </row>
    <row r="52" spans="1:16" x14ac:dyDescent="0.2">
      <c r="A52" s="7">
        <v>3.66</v>
      </c>
      <c r="B52" s="7">
        <v>13.72</v>
      </c>
      <c r="N52" s="5" t="s">
        <v>941</v>
      </c>
      <c r="O52" s="38" t="s">
        <v>951</v>
      </c>
      <c r="P52" s="38" t="s">
        <v>952</v>
      </c>
    </row>
    <row r="53" spans="1:16" x14ac:dyDescent="0.2">
      <c r="A53" s="7">
        <v>7.7</v>
      </c>
      <c r="B53" s="7">
        <v>20.58</v>
      </c>
    </row>
    <row r="54" spans="1:16" x14ac:dyDescent="0.2">
      <c r="A54" s="7">
        <v>3.46</v>
      </c>
      <c r="B54" s="7">
        <v>29.84</v>
      </c>
    </row>
    <row r="55" spans="1:16" x14ac:dyDescent="0.2">
      <c r="A55" s="7">
        <v>9.93</v>
      </c>
      <c r="B55" s="7">
        <v>21.74</v>
      </c>
    </row>
    <row r="56" spans="1:16" ht="16" customHeight="1" x14ac:dyDescent="0.2">
      <c r="A56" s="7">
        <v>4.57</v>
      </c>
      <c r="B56" s="7">
        <v>36.42</v>
      </c>
    </row>
    <row r="57" spans="1:16" x14ac:dyDescent="0.2">
      <c r="A57" s="7">
        <v>5.24</v>
      </c>
      <c r="B57" s="7">
        <v>34.770000000000003</v>
      </c>
    </row>
    <row r="58" spans="1:16" x14ac:dyDescent="0.2">
      <c r="A58" s="7">
        <v>2.94</v>
      </c>
      <c r="B58" s="7">
        <v>38.15</v>
      </c>
      <c r="I58" s="39"/>
      <c r="J58" s="39"/>
    </row>
    <row r="59" spans="1:16" x14ac:dyDescent="0.2">
      <c r="A59" s="7">
        <v>3.26</v>
      </c>
      <c r="B59" s="7">
        <v>22.69</v>
      </c>
      <c r="K59" s="51" t="s">
        <v>895</v>
      </c>
      <c r="L59" s="51"/>
    </row>
    <row r="60" spans="1:16" x14ac:dyDescent="0.2">
      <c r="A60" s="7">
        <v>3.13</v>
      </c>
      <c r="B60" s="7">
        <v>23.1</v>
      </c>
      <c r="K60" s="4" t="s">
        <v>935</v>
      </c>
      <c r="L60" s="4"/>
    </row>
    <row r="61" spans="1:16" x14ac:dyDescent="0.2">
      <c r="A61" s="7">
        <v>8.83</v>
      </c>
      <c r="B61" s="7">
        <v>24.36</v>
      </c>
      <c r="K61" s="4" t="s">
        <v>937</v>
      </c>
      <c r="L61" s="4"/>
    </row>
    <row r="62" spans="1:16" x14ac:dyDescent="0.2">
      <c r="A62" s="7">
        <v>3.98</v>
      </c>
      <c r="B62" s="7">
        <v>17.39</v>
      </c>
      <c r="K62" s="4" t="s">
        <v>936</v>
      </c>
      <c r="L62" s="4"/>
    </row>
    <row r="63" spans="1:16" x14ac:dyDescent="0.2">
      <c r="A63" s="7">
        <v>3.16</v>
      </c>
      <c r="B63" s="7">
        <v>15.8</v>
      </c>
      <c r="K63" s="4" t="s">
        <v>938</v>
      </c>
      <c r="L63" s="4"/>
    </row>
    <row r="64" spans="1:16" x14ac:dyDescent="0.2">
      <c r="A64" s="7">
        <v>9.3000000000000007</v>
      </c>
      <c r="B64" s="7">
        <v>14.26</v>
      </c>
      <c r="K64" s="4"/>
    </row>
    <row r="65" spans="1:18" x14ac:dyDescent="0.2">
      <c r="A65" s="7">
        <v>2.0299999999999998</v>
      </c>
      <c r="B65" s="7">
        <v>22.2</v>
      </c>
      <c r="K65" s="4"/>
    </row>
    <row r="66" spans="1:18" x14ac:dyDescent="0.2">
      <c r="A66" s="7">
        <v>4.2</v>
      </c>
      <c r="B66" s="7">
        <v>9.61</v>
      </c>
    </row>
    <row r="67" spans="1:18" x14ac:dyDescent="0.2">
      <c r="A67" s="7">
        <v>4.5199999999999996</v>
      </c>
      <c r="B67" s="7">
        <v>23.99</v>
      </c>
    </row>
    <row r="68" spans="1:18" x14ac:dyDescent="0.2">
      <c r="A68" s="7">
        <v>9.76</v>
      </c>
      <c r="B68" s="7">
        <v>20.87</v>
      </c>
      <c r="K68" s="52" t="s">
        <v>912</v>
      </c>
      <c r="L68" s="52"/>
    </row>
    <row r="69" spans="1:18" ht="16" customHeight="1" x14ac:dyDescent="0.2">
      <c r="A69" s="7">
        <v>9.43</v>
      </c>
      <c r="B69" s="7">
        <v>21.01</v>
      </c>
      <c r="K69" s="53" t="s">
        <v>939</v>
      </c>
      <c r="L69" s="53"/>
      <c r="M69" s="53"/>
      <c r="N69" s="53"/>
      <c r="O69" s="53"/>
      <c r="P69" s="53"/>
      <c r="Q69" s="53"/>
    </row>
    <row r="70" spans="1:18" x14ac:dyDescent="0.2">
      <c r="A70" s="7">
        <v>9.8000000000000007</v>
      </c>
      <c r="B70" s="7">
        <v>19.5</v>
      </c>
      <c r="K70" s="53"/>
      <c r="L70" s="53"/>
      <c r="M70" s="53"/>
      <c r="N70" s="53"/>
      <c r="O70" s="53"/>
      <c r="P70" s="53"/>
      <c r="Q70" s="53"/>
    </row>
    <row r="71" spans="1:18" x14ac:dyDescent="0.2">
      <c r="A71" s="7">
        <v>3.75</v>
      </c>
      <c r="B71" s="7">
        <v>20.059999999999999</v>
      </c>
    </row>
    <row r="72" spans="1:18" x14ac:dyDescent="0.2">
      <c r="A72" s="7">
        <v>6.95</v>
      </c>
      <c r="B72" s="7">
        <v>24.22</v>
      </c>
    </row>
    <row r="73" spans="1:18" x14ac:dyDescent="0.2">
      <c r="A73" s="7">
        <v>6.31</v>
      </c>
      <c r="B73" s="7">
        <v>10.19</v>
      </c>
    </row>
    <row r="74" spans="1:18" x14ac:dyDescent="0.2">
      <c r="A74" s="7">
        <v>7.64</v>
      </c>
      <c r="B74" s="7">
        <v>16.43</v>
      </c>
    </row>
    <row r="75" spans="1:18" x14ac:dyDescent="0.2">
      <c r="A75" s="7">
        <v>5.03</v>
      </c>
      <c r="B75" s="7">
        <v>23.87</v>
      </c>
    </row>
    <row r="76" spans="1:18" x14ac:dyDescent="0.2">
      <c r="A76" s="7">
        <v>2.0699999999999998</v>
      </c>
      <c r="B76" s="7">
        <v>19.149999999999999</v>
      </c>
    </row>
    <row r="77" spans="1:18" x14ac:dyDescent="0.2">
      <c r="A77" s="7">
        <v>4.88</v>
      </c>
      <c r="B77" s="7">
        <v>35.43</v>
      </c>
    </row>
    <row r="78" spans="1:18" x14ac:dyDescent="0.2">
      <c r="A78" s="7">
        <v>2.59</v>
      </c>
      <c r="B78" s="7">
        <v>9.2100000000000009</v>
      </c>
    </row>
    <row r="79" spans="1:18" x14ac:dyDescent="0.2">
      <c r="A79" s="7">
        <v>7.57</v>
      </c>
      <c r="B79" s="7">
        <v>24.34</v>
      </c>
    </row>
    <row r="80" spans="1:18" x14ac:dyDescent="0.2">
      <c r="A80" s="7">
        <v>9.5399999999999991</v>
      </c>
      <c r="B80" s="7">
        <v>15.55</v>
      </c>
      <c r="M80" s="4"/>
      <c r="N80" s="4"/>
      <c r="O80" s="4"/>
      <c r="P80" s="4"/>
      <c r="Q80" s="4"/>
      <c r="R80" s="4"/>
    </row>
    <row r="81" spans="1:22" x14ac:dyDescent="0.2">
      <c r="A81" s="7">
        <v>3.1</v>
      </c>
      <c r="B81" s="7">
        <v>19.07</v>
      </c>
      <c r="M81" s="4"/>
      <c r="N81" s="4"/>
      <c r="O81" s="4"/>
      <c r="P81" s="4"/>
      <c r="Q81" s="4"/>
      <c r="R81" s="4"/>
    </row>
    <row r="82" spans="1:22" x14ac:dyDescent="0.2">
      <c r="A82" s="7">
        <v>2.56</v>
      </c>
      <c r="B82" s="7">
        <v>22.42</v>
      </c>
      <c r="M82" s="4"/>
      <c r="N82" s="4"/>
      <c r="O82" s="4"/>
      <c r="P82" s="4"/>
      <c r="Q82" s="4"/>
      <c r="R82" s="4"/>
    </row>
    <row r="83" spans="1:22" x14ac:dyDescent="0.2">
      <c r="A83" s="7">
        <v>3.67</v>
      </c>
      <c r="B83" s="7">
        <v>24.83</v>
      </c>
      <c r="M83" s="4"/>
      <c r="N83" s="4"/>
      <c r="O83" s="4"/>
      <c r="P83" s="4"/>
      <c r="Q83" s="4"/>
      <c r="R83" s="4"/>
    </row>
    <row r="84" spans="1:22" x14ac:dyDescent="0.2">
      <c r="A84" s="7">
        <v>2.4700000000000002</v>
      </c>
      <c r="B84" s="7">
        <v>27.93</v>
      </c>
    </row>
    <row r="85" spans="1:22" x14ac:dyDescent="0.2">
      <c r="A85" s="7">
        <v>6.08</v>
      </c>
      <c r="B85" s="7">
        <v>12.99</v>
      </c>
    </row>
    <row r="86" spans="1:22" x14ac:dyDescent="0.2">
      <c r="A86" s="7">
        <v>9.5299999999999994</v>
      </c>
      <c r="B86" s="7">
        <v>14.33</v>
      </c>
    </row>
    <row r="87" spans="1:22" x14ac:dyDescent="0.2">
      <c r="A87" s="7">
        <v>3.84</v>
      </c>
      <c r="B87" s="7">
        <v>20.6</v>
      </c>
    </row>
    <row r="88" spans="1:22" x14ac:dyDescent="0.2">
      <c r="A88" s="7">
        <v>2.64</v>
      </c>
      <c r="B88" s="7">
        <v>19.98</v>
      </c>
    </row>
    <row r="89" spans="1:22" ht="16" customHeight="1" x14ac:dyDescent="0.2">
      <c r="A89" s="7">
        <v>5.41</v>
      </c>
      <c r="B89" s="7">
        <v>23.96</v>
      </c>
      <c r="M89" s="39"/>
      <c r="N89" s="39"/>
      <c r="O89" s="39"/>
      <c r="P89" s="39"/>
      <c r="Q89" s="39"/>
      <c r="R89" s="39"/>
      <c r="S89" s="39"/>
      <c r="T89" s="39"/>
      <c r="U89" s="39"/>
      <c r="V89" s="39"/>
    </row>
    <row r="90" spans="1:22" x14ac:dyDescent="0.2">
      <c r="A90" s="7">
        <v>9.5500000000000007</v>
      </c>
      <c r="B90" s="7">
        <v>22.36</v>
      </c>
      <c r="K90" s="39"/>
      <c r="L90" s="39"/>
      <c r="M90" s="39"/>
      <c r="N90" s="39"/>
      <c r="O90" s="39"/>
      <c r="P90" s="39"/>
      <c r="Q90" s="39"/>
      <c r="R90" s="39"/>
      <c r="S90" s="39"/>
      <c r="T90" s="39"/>
      <c r="U90" s="39"/>
      <c r="V90" s="39"/>
    </row>
    <row r="91" spans="1:22" x14ac:dyDescent="0.2">
      <c r="A91" s="7">
        <v>5.61</v>
      </c>
      <c r="B91" s="7">
        <v>31.41</v>
      </c>
    </row>
    <row r="92" spans="1:22" x14ac:dyDescent="0.2">
      <c r="A92" s="7">
        <v>8</v>
      </c>
      <c r="B92" s="7">
        <v>20.66</v>
      </c>
    </row>
    <row r="93" spans="1:22" x14ac:dyDescent="0.2">
      <c r="A93" s="7">
        <v>8.7100000000000009</v>
      </c>
      <c r="B93" s="7">
        <v>16.86</v>
      </c>
    </row>
    <row r="94" spans="1:22" x14ac:dyDescent="0.2">
      <c r="A94" s="7">
        <v>8.23</v>
      </c>
      <c r="B94" s="7">
        <v>24.02</v>
      </c>
    </row>
    <row r="95" spans="1:22" x14ac:dyDescent="0.2">
      <c r="A95" s="7">
        <v>5.61</v>
      </c>
      <c r="B95" s="7">
        <v>21.5</v>
      </c>
    </row>
    <row r="96" spans="1:22" x14ac:dyDescent="0.2">
      <c r="A96" s="7">
        <v>7.77</v>
      </c>
      <c r="B96" s="7">
        <v>12.52</v>
      </c>
    </row>
    <row r="97" spans="1:2" x14ac:dyDescent="0.2">
      <c r="A97" s="7">
        <v>8.16</v>
      </c>
      <c r="B97" s="7">
        <v>14.25</v>
      </c>
    </row>
    <row r="98" spans="1:2" x14ac:dyDescent="0.2">
      <c r="A98" s="7">
        <v>3.23</v>
      </c>
      <c r="B98" s="7">
        <v>15.9</v>
      </c>
    </row>
    <row r="99" spans="1:2" x14ac:dyDescent="0.2">
      <c r="A99" s="7">
        <v>3.57</v>
      </c>
      <c r="B99" s="7">
        <v>27.42</v>
      </c>
    </row>
    <row r="100" spans="1:2" x14ac:dyDescent="0.2">
      <c r="A100" s="7">
        <v>2.41</v>
      </c>
      <c r="B100" s="7">
        <v>20.7</v>
      </c>
    </row>
    <row r="101" spans="1:2" x14ac:dyDescent="0.2">
      <c r="A101" s="7">
        <v>5.5</v>
      </c>
      <c r="B101" s="7">
        <v>19.920000000000002</v>
      </c>
    </row>
    <row r="102" spans="1:2" x14ac:dyDescent="0.2">
      <c r="A102" s="7">
        <v>6.67</v>
      </c>
      <c r="B102" s="7">
        <v>14.98</v>
      </c>
    </row>
    <row r="103" spans="1:2" x14ac:dyDescent="0.2">
      <c r="A103" s="7">
        <v>6.69</v>
      </c>
      <c r="B103" s="7">
        <v>12.39</v>
      </c>
    </row>
    <row r="104" spans="1:2" x14ac:dyDescent="0.2">
      <c r="A104" s="7">
        <v>7.86</v>
      </c>
      <c r="B104" s="7">
        <v>23.18</v>
      </c>
    </row>
    <row r="105" spans="1:2" x14ac:dyDescent="0.2">
      <c r="A105" s="7">
        <v>7.95</v>
      </c>
      <c r="B105" s="7">
        <v>18.239999999999998</v>
      </c>
    </row>
    <row r="106" spans="1:2" x14ac:dyDescent="0.2">
      <c r="A106" s="7">
        <v>5.08</v>
      </c>
      <c r="B106" s="7">
        <v>24.83</v>
      </c>
    </row>
    <row r="107" spans="1:2" x14ac:dyDescent="0.2">
      <c r="A107" s="7">
        <v>6.4</v>
      </c>
      <c r="B107" s="7">
        <v>33.79</v>
      </c>
    </row>
    <row r="108" spans="1:2" x14ac:dyDescent="0.2">
      <c r="A108" s="7">
        <v>8.6199999999999992</v>
      </c>
      <c r="B108" s="7">
        <v>8.2899999999999991</v>
      </c>
    </row>
    <row r="109" spans="1:2" x14ac:dyDescent="0.2">
      <c r="A109" s="7">
        <v>6.42</v>
      </c>
      <c r="B109" s="7">
        <v>38.549999999999997</v>
      </c>
    </row>
    <row r="110" spans="1:2" x14ac:dyDescent="0.2">
      <c r="A110" s="7">
        <v>5.71</v>
      </c>
      <c r="B110" s="7">
        <v>20.13</v>
      </c>
    </row>
    <row r="111" spans="1:2" x14ac:dyDescent="0.2">
      <c r="A111" s="7">
        <v>7.01</v>
      </c>
      <c r="B111" s="7">
        <v>20.28</v>
      </c>
    </row>
    <row r="112" spans="1:2" x14ac:dyDescent="0.2">
      <c r="A112" s="7">
        <v>6.44</v>
      </c>
      <c r="B112" s="7">
        <v>10.92</v>
      </c>
    </row>
    <row r="113" spans="1:2" x14ac:dyDescent="0.2">
      <c r="A113" s="7">
        <v>5</v>
      </c>
      <c r="B113" s="7">
        <v>10.14</v>
      </c>
    </row>
    <row r="114" spans="1:2" x14ac:dyDescent="0.2">
      <c r="A114" s="7">
        <v>3.48</v>
      </c>
      <c r="B114" s="7">
        <v>10.08</v>
      </c>
    </row>
    <row r="115" spans="1:2" x14ac:dyDescent="0.2">
      <c r="A115" s="7">
        <v>2.14</v>
      </c>
      <c r="B115" s="7">
        <v>19.46</v>
      </c>
    </row>
    <row r="116" spans="1:2" x14ac:dyDescent="0.2">
      <c r="A116" s="7">
        <v>4.32</v>
      </c>
      <c r="B116" s="7">
        <v>27.79</v>
      </c>
    </row>
    <row r="117" spans="1:2" x14ac:dyDescent="0.2">
      <c r="A117" s="7">
        <v>8.25</v>
      </c>
      <c r="B117" s="7">
        <v>15.78</v>
      </c>
    </row>
    <row r="118" spans="1:2" x14ac:dyDescent="0.2">
      <c r="A118" s="7">
        <v>8.8000000000000007</v>
      </c>
      <c r="B118" s="7">
        <v>15.68</v>
      </c>
    </row>
    <row r="119" spans="1:2" x14ac:dyDescent="0.2">
      <c r="A119" s="7">
        <v>8.33</v>
      </c>
      <c r="B119" s="7">
        <v>23.02</v>
      </c>
    </row>
    <row r="120" spans="1:2" x14ac:dyDescent="0.2">
      <c r="A120" s="7">
        <v>6.48</v>
      </c>
      <c r="B120" s="7">
        <v>17.59</v>
      </c>
    </row>
    <row r="121" spans="1:2" x14ac:dyDescent="0.2">
      <c r="A121" s="7">
        <v>9.92</v>
      </c>
      <c r="B121" s="7">
        <v>22.59</v>
      </c>
    </row>
    <row r="122" spans="1:2" x14ac:dyDescent="0.2">
      <c r="A122" s="7">
        <v>7.77</v>
      </c>
      <c r="B122" s="7">
        <v>10.6</v>
      </c>
    </row>
    <row r="123" spans="1:2" x14ac:dyDescent="0.2">
      <c r="A123" s="7">
        <v>4.17</v>
      </c>
      <c r="B123" s="7">
        <v>23.11</v>
      </c>
    </row>
    <row r="124" spans="1:2" x14ac:dyDescent="0.2">
      <c r="A124" s="7">
        <v>2.84</v>
      </c>
      <c r="B124" s="7">
        <v>23.89</v>
      </c>
    </row>
    <row r="125" spans="1:2" x14ac:dyDescent="0.2">
      <c r="A125" s="7">
        <v>5.32</v>
      </c>
      <c r="B125" s="7">
        <v>29.9</v>
      </c>
    </row>
    <row r="126" spans="1:2" x14ac:dyDescent="0.2">
      <c r="A126" s="7">
        <v>6.66</v>
      </c>
      <c r="B126" s="7">
        <v>13.61</v>
      </c>
    </row>
    <row r="127" spans="1:2" x14ac:dyDescent="0.2">
      <c r="A127" s="7">
        <v>3.07</v>
      </c>
      <c r="B127" s="7">
        <v>20.67</v>
      </c>
    </row>
    <row r="128" spans="1:2" x14ac:dyDescent="0.2">
      <c r="A128" s="7">
        <v>9.16</v>
      </c>
      <c r="B128" s="7">
        <v>13.9</v>
      </c>
    </row>
    <row r="129" spans="1:2" x14ac:dyDescent="0.2">
      <c r="A129" s="7">
        <v>7.72</v>
      </c>
      <c r="B129" s="7">
        <v>12.58</v>
      </c>
    </row>
    <row r="130" spans="1:2" x14ac:dyDescent="0.2">
      <c r="A130" s="7">
        <v>4.21</v>
      </c>
      <c r="B130" s="7">
        <v>24.71</v>
      </c>
    </row>
    <row r="131" spans="1:2" x14ac:dyDescent="0.2">
      <c r="A131" s="7">
        <v>9.06</v>
      </c>
      <c r="B131" s="7">
        <v>21.18</v>
      </c>
    </row>
    <row r="132" spans="1:2" x14ac:dyDescent="0.2">
      <c r="A132" s="7">
        <v>2.06</v>
      </c>
      <c r="B132" s="7">
        <v>12.31</v>
      </c>
    </row>
    <row r="133" spans="1:2" x14ac:dyDescent="0.2">
      <c r="A133" s="7">
        <v>7.14</v>
      </c>
      <c r="B133" s="7">
        <v>20.29</v>
      </c>
    </row>
    <row r="134" spans="1:2" x14ac:dyDescent="0.2">
      <c r="A134" s="7">
        <v>8.69</v>
      </c>
      <c r="B134" s="7">
        <v>26.29</v>
      </c>
    </row>
    <row r="135" spans="1:2" x14ac:dyDescent="0.2">
      <c r="A135" s="7">
        <v>5.98</v>
      </c>
      <c r="B135" s="7">
        <v>18.71</v>
      </c>
    </row>
    <row r="136" spans="1:2" x14ac:dyDescent="0.2">
      <c r="A136" s="7">
        <v>8.41</v>
      </c>
      <c r="B136" s="7">
        <v>15.24</v>
      </c>
    </row>
    <row r="137" spans="1:2" x14ac:dyDescent="0.2">
      <c r="A137" s="7">
        <v>9.16</v>
      </c>
      <c r="B137" s="7">
        <v>12.17</v>
      </c>
    </row>
    <row r="138" spans="1:2" x14ac:dyDescent="0.2">
      <c r="A138" s="7">
        <v>8.99</v>
      </c>
      <c r="B138" s="7">
        <v>17.03</v>
      </c>
    </row>
    <row r="139" spans="1:2" x14ac:dyDescent="0.2">
      <c r="A139" s="7">
        <v>8.17</v>
      </c>
      <c r="B139" s="7">
        <v>21.79</v>
      </c>
    </row>
    <row r="140" spans="1:2" x14ac:dyDescent="0.2">
      <c r="A140" s="7">
        <v>6.4</v>
      </c>
      <c r="B140" s="7">
        <v>25.67</v>
      </c>
    </row>
    <row r="141" spans="1:2" x14ac:dyDescent="0.2">
      <c r="A141" s="7">
        <v>3.84</v>
      </c>
      <c r="B141" s="7">
        <v>9.81</v>
      </c>
    </row>
    <row r="142" spans="1:2" x14ac:dyDescent="0.2">
      <c r="A142" s="7">
        <v>8.1300000000000008</v>
      </c>
      <c r="B142" s="7">
        <v>15.07</v>
      </c>
    </row>
    <row r="143" spans="1:2" x14ac:dyDescent="0.2">
      <c r="A143" s="7">
        <v>9.35</v>
      </c>
      <c r="B143" s="7">
        <v>11.58</v>
      </c>
    </row>
    <row r="144" spans="1:2" x14ac:dyDescent="0.2">
      <c r="A144" s="7">
        <v>8.6199999999999992</v>
      </c>
      <c r="B144" s="7">
        <v>33.14</v>
      </c>
    </row>
    <row r="145" spans="1:2" x14ac:dyDescent="0.2">
      <c r="A145" s="7">
        <v>6.1</v>
      </c>
      <c r="B145" s="7">
        <v>12.23</v>
      </c>
    </row>
    <row r="146" spans="1:2" x14ac:dyDescent="0.2">
      <c r="A146" s="7">
        <v>6.83</v>
      </c>
      <c r="B146" s="7">
        <v>18.8</v>
      </c>
    </row>
    <row r="147" spans="1:2" x14ac:dyDescent="0.2">
      <c r="A147" s="7">
        <v>2.2999999999999998</v>
      </c>
      <c r="B147" s="7">
        <v>22.42</v>
      </c>
    </row>
    <row r="148" spans="1:2" x14ac:dyDescent="0.2">
      <c r="A148" s="7">
        <v>8.84</v>
      </c>
      <c r="B148" s="7">
        <v>22.78</v>
      </c>
    </row>
    <row r="149" spans="1:2" x14ac:dyDescent="0.2">
      <c r="A149" s="7">
        <v>9.52</v>
      </c>
      <c r="B149" s="7">
        <v>15.36</v>
      </c>
    </row>
    <row r="150" spans="1:2" x14ac:dyDescent="0.2">
      <c r="A150" s="7">
        <v>3.96</v>
      </c>
      <c r="B150" s="7">
        <v>30.64</v>
      </c>
    </row>
    <row r="151" spans="1:2" x14ac:dyDescent="0.2">
      <c r="A151" s="7">
        <v>9.7100000000000009</v>
      </c>
      <c r="B151" s="7">
        <v>15.6</v>
      </c>
    </row>
    <row r="152" spans="1:2" x14ac:dyDescent="0.2">
      <c r="A152" s="7">
        <v>3.34</v>
      </c>
      <c r="B152" s="7">
        <v>34.9</v>
      </c>
    </row>
    <row r="153" spans="1:2" x14ac:dyDescent="0.2">
      <c r="A153" s="7">
        <v>9.23</v>
      </c>
      <c r="B153" s="7">
        <v>27.72</v>
      </c>
    </row>
    <row r="154" spans="1:2" x14ac:dyDescent="0.2">
      <c r="A154" s="7">
        <v>2.5</v>
      </c>
      <c r="B154" s="7">
        <v>19.59</v>
      </c>
    </row>
    <row r="155" spans="1:2" x14ac:dyDescent="0.2">
      <c r="A155" s="7">
        <v>9.0399999999999991</v>
      </c>
      <c r="B155" s="7">
        <v>10.86</v>
      </c>
    </row>
    <row r="156" spans="1:2" x14ac:dyDescent="0.2">
      <c r="A156" s="7">
        <v>5.35</v>
      </c>
      <c r="B156" s="7">
        <v>13.59</v>
      </c>
    </row>
    <row r="157" spans="1:2" x14ac:dyDescent="0.2">
      <c r="A157" s="7">
        <v>6.49</v>
      </c>
      <c r="B157" s="7">
        <v>38.99</v>
      </c>
    </row>
    <row r="158" spans="1:2" x14ac:dyDescent="0.2">
      <c r="A158" s="7">
        <v>8.69</v>
      </c>
      <c r="B158" s="7">
        <v>18.05</v>
      </c>
    </row>
    <row r="159" spans="1:2" x14ac:dyDescent="0.2">
      <c r="A159" s="7">
        <v>2.88</v>
      </c>
      <c r="B159" s="7">
        <v>32.799999999999997</v>
      </c>
    </row>
    <row r="160" spans="1:2" x14ac:dyDescent="0.2">
      <c r="A160" s="7">
        <v>2.5099999999999998</v>
      </c>
      <c r="B160" s="7">
        <v>30.75</v>
      </c>
    </row>
    <row r="161" spans="1:2" x14ac:dyDescent="0.2">
      <c r="A161" s="7">
        <v>5.34</v>
      </c>
      <c r="B161" s="7">
        <v>30.04</v>
      </c>
    </row>
    <row r="162" spans="1:2" x14ac:dyDescent="0.2">
      <c r="A162" s="7">
        <v>2.04</v>
      </c>
      <c r="B162" s="7">
        <v>24.36</v>
      </c>
    </row>
    <row r="163" spans="1:2" x14ac:dyDescent="0.2">
      <c r="A163" s="7">
        <v>2.23</v>
      </c>
      <c r="B163" s="7">
        <v>13.98</v>
      </c>
    </row>
    <row r="164" spans="1:2" x14ac:dyDescent="0.2">
      <c r="A164" s="7">
        <v>8.5399999999999991</v>
      </c>
      <c r="B164" s="7">
        <v>19.670000000000002</v>
      </c>
    </row>
    <row r="165" spans="1:2" x14ac:dyDescent="0.2">
      <c r="A165" s="7">
        <v>6.25</v>
      </c>
      <c r="B165" s="7">
        <v>36.590000000000003</v>
      </c>
    </row>
    <row r="166" spans="1:2" x14ac:dyDescent="0.2">
      <c r="A166" s="7">
        <v>8.09</v>
      </c>
      <c r="B166" s="7">
        <v>8.99</v>
      </c>
    </row>
    <row r="167" spans="1:2" x14ac:dyDescent="0.2">
      <c r="A167" s="7">
        <v>7.84</v>
      </c>
      <c r="B167" s="7">
        <v>16.54</v>
      </c>
    </row>
    <row r="168" spans="1:2" x14ac:dyDescent="0.2">
      <c r="A168" s="7">
        <v>8.1</v>
      </c>
      <c r="B168" s="7">
        <v>16.149999999999999</v>
      </c>
    </row>
    <row r="169" spans="1:2" x14ac:dyDescent="0.2">
      <c r="A169" s="7">
        <v>6.97</v>
      </c>
      <c r="B169" s="7">
        <v>20.46</v>
      </c>
    </row>
    <row r="170" spans="1:2" x14ac:dyDescent="0.2">
      <c r="A170" s="7">
        <v>3.93</v>
      </c>
      <c r="B170" s="7">
        <v>17.850000000000001</v>
      </c>
    </row>
    <row r="171" spans="1:2" x14ac:dyDescent="0.2">
      <c r="A171" s="7">
        <v>3.42</v>
      </c>
      <c r="B171" s="7">
        <v>13.14</v>
      </c>
    </row>
    <row r="172" spans="1:2" x14ac:dyDescent="0.2">
      <c r="A172" s="7">
        <v>3.02</v>
      </c>
      <c r="B172" s="7">
        <v>14.7</v>
      </c>
    </row>
    <row r="173" spans="1:2" x14ac:dyDescent="0.2">
      <c r="A173" s="7">
        <v>9.98</v>
      </c>
      <c r="B173" s="7">
        <v>18.28</v>
      </c>
    </row>
    <row r="174" spans="1:2" x14ac:dyDescent="0.2">
      <c r="A174" s="7">
        <v>3.74</v>
      </c>
      <c r="B174" s="7">
        <v>29.29</v>
      </c>
    </row>
    <row r="175" spans="1:2" x14ac:dyDescent="0.2">
      <c r="A175" s="7">
        <v>5.14</v>
      </c>
      <c r="B175" s="7">
        <v>11.71</v>
      </c>
    </row>
    <row r="176" spans="1:2" x14ac:dyDescent="0.2">
      <c r="A176" s="7">
        <v>5.72</v>
      </c>
      <c r="B176" s="7">
        <v>9.39</v>
      </c>
    </row>
    <row r="177" spans="1:2" x14ac:dyDescent="0.2">
      <c r="A177" s="7">
        <v>2.97</v>
      </c>
      <c r="B177" s="7">
        <v>22.23</v>
      </c>
    </row>
    <row r="178" spans="1:2" x14ac:dyDescent="0.2">
      <c r="A178" s="7">
        <v>3.99</v>
      </c>
      <c r="B178" s="7">
        <v>9.4700000000000006</v>
      </c>
    </row>
    <row r="179" spans="1:2" x14ac:dyDescent="0.2">
      <c r="A179" s="7">
        <v>5.15</v>
      </c>
      <c r="B179" s="7">
        <v>22.91</v>
      </c>
    </row>
    <row r="180" spans="1:2" x14ac:dyDescent="0.2">
      <c r="A180" s="7">
        <v>4.95</v>
      </c>
      <c r="B180" s="7">
        <v>38.200000000000003</v>
      </c>
    </row>
    <row r="181" spans="1:2" x14ac:dyDescent="0.2">
      <c r="A181" s="7">
        <v>3.32</v>
      </c>
      <c r="B181" s="7">
        <v>26.27</v>
      </c>
    </row>
    <row r="182" spans="1:2" x14ac:dyDescent="0.2">
      <c r="A182" s="7">
        <v>8.65</v>
      </c>
      <c r="B182" s="7">
        <v>18.940000000000001</v>
      </c>
    </row>
    <row r="183" spans="1:2" x14ac:dyDescent="0.2">
      <c r="A183" s="7">
        <v>4.79</v>
      </c>
      <c r="B183" s="7">
        <v>10.210000000000001</v>
      </c>
    </row>
    <row r="184" spans="1:2" x14ac:dyDescent="0.2">
      <c r="A184" s="7">
        <v>5.79</v>
      </c>
      <c r="B184" s="7">
        <v>28.13</v>
      </c>
    </row>
    <row r="185" spans="1:2" x14ac:dyDescent="0.2">
      <c r="A185" s="7">
        <v>7.27</v>
      </c>
      <c r="B185" s="7">
        <v>16.96</v>
      </c>
    </row>
    <row r="186" spans="1:2" x14ac:dyDescent="0.2">
      <c r="A186" s="7">
        <v>9.39</v>
      </c>
      <c r="B186" s="7">
        <v>27.21</v>
      </c>
    </row>
    <row r="187" spans="1:2" x14ac:dyDescent="0.2">
      <c r="A187" s="7">
        <v>9.65</v>
      </c>
      <c r="B187" s="7">
        <v>18.72</v>
      </c>
    </row>
    <row r="188" spans="1:2" x14ac:dyDescent="0.2">
      <c r="A188" s="7">
        <v>4.1399999999999997</v>
      </c>
      <c r="B188" s="7">
        <v>8.0299999999999994</v>
      </c>
    </row>
    <row r="189" spans="1:2" x14ac:dyDescent="0.2">
      <c r="A189" s="7">
        <v>3.57</v>
      </c>
      <c r="B189" s="7">
        <v>26.7</v>
      </c>
    </row>
    <row r="190" spans="1:2" x14ac:dyDescent="0.2">
      <c r="A190" s="7">
        <v>8.5399999999999991</v>
      </c>
      <c r="B190" s="7">
        <v>8.74</v>
      </c>
    </row>
    <row r="191" spans="1:2" x14ac:dyDescent="0.2">
      <c r="A191" s="7">
        <v>6.19</v>
      </c>
      <c r="B191" s="7">
        <v>9.58</v>
      </c>
    </row>
    <row r="192" spans="1:2" x14ac:dyDescent="0.2">
      <c r="A192" s="7">
        <v>6.04</v>
      </c>
      <c r="B192" s="7">
        <v>23.3</v>
      </c>
    </row>
    <row r="193" spans="1:2" x14ac:dyDescent="0.2">
      <c r="A193" s="7">
        <v>5.0199999999999996</v>
      </c>
      <c r="B193" s="7">
        <v>38.450000000000003</v>
      </c>
    </row>
    <row r="194" spans="1:2" x14ac:dyDescent="0.2">
      <c r="A194" s="7">
        <v>5.81</v>
      </c>
      <c r="B194" s="7">
        <v>10.33</v>
      </c>
    </row>
    <row r="195" spans="1:2" x14ac:dyDescent="0.2">
      <c r="A195" s="7">
        <v>9.59</v>
      </c>
      <c r="B195" s="7">
        <v>29.84</v>
      </c>
    </row>
    <row r="196" spans="1:2" x14ac:dyDescent="0.2">
      <c r="A196" s="7">
        <v>7.51</v>
      </c>
      <c r="B196" s="7">
        <v>9.7100000000000009</v>
      </c>
    </row>
    <row r="197" spans="1:2" x14ac:dyDescent="0.2">
      <c r="A197" s="7">
        <v>4.5999999999999996</v>
      </c>
      <c r="B197" s="7">
        <v>18.3</v>
      </c>
    </row>
    <row r="198" spans="1:2" x14ac:dyDescent="0.2">
      <c r="A198" s="7">
        <v>5.0999999999999996</v>
      </c>
      <c r="B198" s="7">
        <v>9.7100000000000009</v>
      </c>
    </row>
    <row r="199" spans="1:2" x14ac:dyDescent="0.2">
      <c r="A199" s="7">
        <v>8.19</v>
      </c>
      <c r="B199" s="7">
        <v>17.48</v>
      </c>
    </row>
    <row r="200" spans="1:2" x14ac:dyDescent="0.2">
      <c r="A200" s="7">
        <v>2.4300000000000002</v>
      </c>
      <c r="B200" s="7">
        <v>36.99</v>
      </c>
    </row>
    <row r="201" spans="1:2" x14ac:dyDescent="0.2">
      <c r="A201" s="7">
        <v>8.06</v>
      </c>
      <c r="B201" s="7">
        <v>9.7799999999999994</v>
      </c>
    </row>
    <row r="202" spans="1:2" x14ac:dyDescent="0.2">
      <c r="A202" s="7">
        <v>8.23</v>
      </c>
      <c r="B202" s="7">
        <v>21.21</v>
      </c>
    </row>
    <row r="203" spans="1:2" x14ac:dyDescent="0.2">
      <c r="A203" s="7">
        <v>4.24</v>
      </c>
      <c r="B203" s="7">
        <v>16.329999999999998</v>
      </c>
    </row>
    <row r="204" spans="1:2" x14ac:dyDescent="0.2">
      <c r="A204" s="7">
        <v>8.73</v>
      </c>
      <c r="B204" s="7">
        <v>18.440000000000001</v>
      </c>
    </row>
    <row r="205" spans="1:2" x14ac:dyDescent="0.2">
      <c r="A205" s="7">
        <v>2.06</v>
      </c>
      <c r="B205" s="7">
        <v>17.21</v>
      </c>
    </row>
    <row r="206" spans="1:2" x14ac:dyDescent="0.2">
      <c r="A206" s="7">
        <v>4.6100000000000003</v>
      </c>
      <c r="B206" s="7">
        <v>14.18</v>
      </c>
    </row>
    <row r="207" spans="1:2" x14ac:dyDescent="0.2">
      <c r="A207" s="7">
        <v>2.56</v>
      </c>
      <c r="B207" s="7">
        <v>8.5500000000000007</v>
      </c>
    </row>
    <row r="208" spans="1:2" x14ac:dyDescent="0.2">
      <c r="A208" s="7">
        <v>2.0099999999999998</v>
      </c>
      <c r="B208" s="7">
        <v>13.86</v>
      </c>
    </row>
    <row r="209" spans="1:2" x14ac:dyDescent="0.2">
      <c r="A209" s="7">
        <v>8.6999999999999993</v>
      </c>
      <c r="B209" s="7">
        <v>12.26</v>
      </c>
    </row>
    <row r="210" spans="1:2" x14ac:dyDescent="0.2">
      <c r="A210" s="7">
        <v>8.64</v>
      </c>
      <c r="B210" s="7">
        <v>13.24</v>
      </c>
    </row>
    <row r="211" spans="1:2" x14ac:dyDescent="0.2">
      <c r="A211" s="7">
        <v>2.19</v>
      </c>
      <c r="B211" s="7">
        <v>19.11</v>
      </c>
    </row>
    <row r="212" spans="1:2" x14ac:dyDescent="0.2">
      <c r="A212" s="7">
        <v>3.82</v>
      </c>
      <c r="B212" s="7">
        <v>20.03</v>
      </c>
    </row>
    <row r="213" spans="1:2" x14ac:dyDescent="0.2">
      <c r="A213" s="7">
        <v>8.73</v>
      </c>
      <c r="B213" s="7">
        <v>19.88</v>
      </c>
    </row>
    <row r="214" spans="1:2" x14ac:dyDescent="0.2">
      <c r="A214" s="7">
        <v>4.3899999999999997</v>
      </c>
      <c r="B214" s="7">
        <v>24.85</v>
      </c>
    </row>
    <row r="215" spans="1:2" x14ac:dyDescent="0.2">
      <c r="A215" s="7">
        <v>6.87</v>
      </c>
      <c r="B215" s="7">
        <v>11.05</v>
      </c>
    </row>
    <row r="216" spans="1:2" x14ac:dyDescent="0.2">
      <c r="A216" s="7">
        <v>5.49</v>
      </c>
      <c r="B216" s="7">
        <v>23.13</v>
      </c>
    </row>
    <row r="217" spans="1:2" x14ac:dyDescent="0.2">
      <c r="A217" s="7">
        <v>3.09</v>
      </c>
      <c r="B217" s="7">
        <v>31.05</v>
      </c>
    </row>
    <row r="218" spans="1:2" x14ac:dyDescent="0.2">
      <c r="A218" s="7">
        <v>7.59</v>
      </c>
      <c r="B218" s="7">
        <v>19.29</v>
      </c>
    </row>
    <row r="219" spans="1:2" x14ac:dyDescent="0.2">
      <c r="A219" s="7">
        <v>7.36</v>
      </c>
      <c r="B219" s="7">
        <v>31.95</v>
      </c>
    </row>
    <row r="220" spans="1:2" x14ac:dyDescent="0.2">
      <c r="A220" s="7">
        <v>3.94</v>
      </c>
      <c r="B220" s="7">
        <v>38.39</v>
      </c>
    </row>
    <row r="221" spans="1:2" x14ac:dyDescent="0.2">
      <c r="A221" s="7">
        <v>4.3499999999999996</v>
      </c>
      <c r="B221" s="7">
        <v>23.38</v>
      </c>
    </row>
    <row r="222" spans="1:2" x14ac:dyDescent="0.2">
      <c r="A222" s="7">
        <v>4.3499999999999996</v>
      </c>
      <c r="B222" s="7">
        <v>23.98</v>
      </c>
    </row>
    <row r="223" spans="1:2" x14ac:dyDescent="0.2">
      <c r="A223" s="7">
        <v>2.29</v>
      </c>
      <c r="B223" s="7">
        <v>18.18</v>
      </c>
    </row>
    <row r="224" spans="1:2" x14ac:dyDescent="0.2">
      <c r="A224" s="7">
        <v>9.7100000000000009</v>
      </c>
      <c r="B224" s="7">
        <v>14.29</v>
      </c>
    </row>
    <row r="225" spans="1:2" x14ac:dyDescent="0.2">
      <c r="A225" s="7">
        <v>9.9499999999999993</v>
      </c>
      <c r="B225" s="7">
        <v>39.450000000000003</v>
      </c>
    </row>
    <row r="226" spans="1:2" x14ac:dyDescent="0.2">
      <c r="A226" s="7">
        <v>5.61</v>
      </c>
      <c r="B226" s="7">
        <v>9.83</v>
      </c>
    </row>
    <row r="227" spans="1:2" x14ac:dyDescent="0.2">
      <c r="A227" s="7">
        <v>6.58</v>
      </c>
      <c r="B227" s="7">
        <v>18.84</v>
      </c>
    </row>
    <row r="228" spans="1:2" x14ac:dyDescent="0.2">
      <c r="A228" s="7">
        <v>5.62</v>
      </c>
      <c r="B228" s="7">
        <v>20.63</v>
      </c>
    </row>
    <row r="229" spans="1:2" x14ac:dyDescent="0.2">
      <c r="A229" s="7">
        <v>8.91</v>
      </c>
      <c r="B229" s="7">
        <v>15.73</v>
      </c>
    </row>
    <row r="230" spans="1:2" x14ac:dyDescent="0.2">
      <c r="A230" s="7">
        <v>4.57</v>
      </c>
      <c r="B230" s="7">
        <v>11.23</v>
      </c>
    </row>
    <row r="231" spans="1:2" x14ac:dyDescent="0.2">
      <c r="A231" s="7">
        <v>3.84</v>
      </c>
      <c r="B231" s="7">
        <v>13.2</v>
      </c>
    </row>
    <row r="232" spans="1:2" x14ac:dyDescent="0.2">
      <c r="A232" s="7">
        <v>8.85</v>
      </c>
      <c r="B232" s="7">
        <v>19.03</v>
      </c>
    </row>
    <row r="233" spans="1:2" x14ac:dyDescent="0.2">
      <c r="A233" s="7">
        <v>5.92</v>
      </c>
      <c r="B233" s="7">
        <v>20.86</v>
      </c>
    </row>
    <row r="234" spans="1:2" x14ac:dyDescent="0.2">
      <c r="A234" s="7">
        <v>5.47</v>
      </c>
      <c r="B234" s="7">
        <v>23.34</v>
      </c>
    </row>
    <row r="235" spans="1:2" x14ac:dyDescent="0.2">
      <c r="A235" s="7">
        <v>9.48</v>
      </c>
      <c r="B235" s="7">
        <v>11.54</v>
      </c>
    </row>
    <row r="236" spans="1:2" x14ac:dyDescent="0.2">
      <c r="A236" s="7">
        <v>4.76</v>
      </c>
      <c r="B236" s="7">
        <v>19.96</v>
      </c>
    </row>
    <row r="237" spans="1:2" x14ac:dyDescent="0.2">
      <c r="A237" s="7">
        <v>9.83</v>
      </c>
      <c r="B237" s="7">
        <v>21</v>
      </c>
    </row>
    <row r="238" spans="1:2" x14ac:dyDescent="0.2">
      <c r="A238" s="7">
        <v>5.8</v>
      </c>
      <c r="B238" s="7">
        <v>30.01</v>
      </c>
    </row>
    <row r="239" spans="1:2" x14ac:dyDescent="0.2">
      <c r="A239" s="7">
        <v>6.62</v>
      </c>
      <c r="B239" s="7">
        <v>11.78</v>
      </c>
    </row>
    <row r="240" spans="1:2" x14ac:dyDescent="0.2">
      <c r="A240" s="7">
        <v>7.84</v>
      </c>
      <c r="B240" s="7">
        <v>13.54</v>
      </c>
    </row>
    <row r="241" spans="1:2" x14ac:dyDescent="0.2">
      <c r="A241" s="7">
        <v>7.62</v>
      </c>
      <c r="B241" s="7">
        <v>14.23</v>
      </c>
    </row>
    <row r="242" spans="1:2" x14ac:dyDescent="0.2">
      <c r="A242" s="7">
        <v>4</v>
      </c>
      <c r="B242" s="7">
        <v>12.36</v>
      </c>
    </row>
    <row r="243" spans="1:2" x14ac:dyDescent="0.2">
      <c r="A243" s="7">
        <v>9.93</v>
      </c>
      <c r="B243" s="7">
        <v>9.6999999999999993</v>
      </c>
    </row>
    <row r="244" spans="1:2" x14ac:dyDescent="0.2">
      <c r="A244" s="7">
        <v>4.49</v>
      </c>
      <c r="B244" s="7">
        <v>18.53</v>
      </c>
    </row>
    <row r="245" spans="1:2" x14ac:dyDescent="0.2">
      <c r="A245" s="7">
        <v>8.73</v>
      </c>
      <c r="B245" s="7">
        <v>27.74</v>
      </c>
    </row>
    <row r="246" spans="1:2" x14ac:dyDescent="0.2">
      <c r="A246" s="7">
        <v>7.4</v>
      </c>
      <c r="B246" s="7">
        <v>35.43</v>
      </c>
    </row>
    <row r="247" spans="1:2" x14ac:dyDescent="0.2">
      <c r="A247" s="7">
        <v>8.89</v>
      </c>
      <c r="B247" s="7">
        <v>23.1</v>
      </c>
    </row>
    <row r="248" spans="1:2" x14ac:dyDescent="0.2">
      <c r="A248" s="7">
        <v>8.26</v>
      </c>
      <c r="B248" s="7">
        <v>12.54</v>
      </c>
    </row>
  </sheetData>
  <mergeCells count="3">
    <mergeCell ref="K59:L59"/>
    <mergeCell ref="K68:L68"/>
    <mergeCell ref="K69:Q70"/>
  </mergeCells>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C605F6-9590-B747-93A2-742A8B4B097F}">
  <dimension ref="B3:V29"/>
  <sheetViews>
    <sheetView zoomScale="88" workbookViewId="0"/>
  </sheetViews>
  <sheetFormatPr baseColWidth="10" defaultRowHeight="16" x14ac:dyDescent="0.2"/>
  <cols>
    <col min="1" max="1" width="10.83203125" style="15"/>
    <col min="2" max="2" width="15.33203125" style="15" bestFit="1" customWidth="1"/>
    <col min="3" max="3" width="24" style="15" bestFit="1" customWidth="1"/>
    <col min="4" max="4" width="23" style="15" bestFit="1" customWidth="1"/>
    <col min="5" max="5" width="19" style="15" bestFit="1" customWidth="1"/>
    <col min="6" max="6" width="19.83203125" style="15" bestFit="1" customWidth="1"/>
    <col min="7" max="16384" width="10.83203125" style="15"/>
  </cols>
  <sheetData>
    <row r="3" spans="2:15" x14ac:dyDescent="0.2">
      <c r="B3" s="24" t="s">
        <v>953</v>
      </c>
      <c r="C3" s="15" t="s">
        <v>957</v>
      </c>
      <c r="D3" s="15" t="s">
        <v>852</v>
      </c>
      <c r="F3" s="40" t="s">
        <v>906</v>
      </c>
    </row>
    <row r="4" spans="2:15" x14ac:dyDescent="0.2">
      <c r="B4" s="15" t="s">
        <v>954</v>
      </c>
      <c r="C4" s="15">
        <v>276.66999999999996</v>
      </c>
      <c r="D4" s="15">
        <v>1627.9599999999998</v>
      </c>
      <c r="F4" s="41">
        <f>GETPIVOTDATA("Contact_Cost_Sum(€)",$B$3,"Spending_Tier","High Spender")/GETPIVOTDATA("Total_Spent_Sum (€)",$B$3,"Spending_Tier","High Spender")</f>
        <v>0.16994889309319638</v>
      </c>
    </row>
    <row r="5" spans="2:15" x14ac:dyDescent="0.2">
      <c r="B5" s="15" t="s">
        <v>955</v>
      </c>
      <c r="C5" s="15">
        <v>1669.1899999999994</v>
      </c>
      <c r="D5" s="15">
        <v>195.08000000000004</v>
      </c>
      <c r="F5" s="41">
        <f>GETPIVOTDATA("Contact_Cost_Sum(€)",$B$3,"Spending_Tier","Low Spender")/GETPIVOTDATA("Total_Spent_Sum (€)",$B$3,"Spending_Tier","Low Spender")</f>
        <v>8.5564383842526102</v>
      </c>
    </row>
    <row r="6" spans="2:15" x14ac:dyDescent="0.2">
      <c r="B6" s="15" t="s">
        <v>956</v>
      </c>
      <c r="C6" s="15">
        <v>1096.9499999999996</v>
      </c>
      <c r="D6" s="15">
        <v>3112.5200000000023</v>
      </c>
      <c r="F6" s="41">
        <f>GETPIVOTDATA("Contact_Cost_Sum(€)",$B$3,"Spending_Tier","Medium Spender")/GETPIVOTDATA("Total_Spent_Sum (€)",$B$3,"Spending_Tier","Medium Spender")</f>
        <v>0.35243147031986904</v>
      </c>
    </row>
    <row r="7" spans="2:15" x14ac:dyDescent="0.2">
      <c r="B7" s="15" t="s">
        <v>894</v>
      </c>
      <c r="C7" s="15">
        <v>3042.8099999999986</v>
      </c>
      <c r="D7" s="15">
        <v>4935.5600000000022</v>
      </c>
    </row>
    <row r="10" spans="2:15" x14ac:dyDescent="0.2">
      <c r="I10" s="51" t="s">
        <v>895</v>
      </c>
      <c r="J10" s="51"/>
      <c r="K10"/>
      <c r="L10"/>
      <c r="M10"/>
      <c r="N10"/>
      <c r="O10"/>
    </row>
    <row r="11" spans="2:15" x14ac:dyDescent="0.2">
      <c r="I11" s="4" t="s">
        <v>959</v>
      </c>
      <c r="J11" s="4"/>
      <c r="K11"/>
      <c r="L11"/>
      <c r="M11"/>
      <c r="N11"/>
      <c r="O11"/>
    </row>
    <row r="12" spans="2:15" x14ac:dyDescent="0.2">
      <c r="I12" s="4" t="s">
        <v>958</v>
      </c>
      <c r="J12" s="4"/>
      <c r="K12"/>
      <c r="L12"/>
      <c r="M12"/>
      <c r="N12"/>
      <c r="O12"/>
    </row>
    <row r="13" spans="2:15" x14ac:dyDescent="0.2">
      <c r="I13" s="4" t="s">
        <v>960</v>
      </c>
      <c r="J13" s="4"/>
      <c r="K13"/>
      <c r="L13"/>
      <c r="M13"/>
      <c r="N13"/>
      <c r="O13"/>
    </row>
    <row r="14" spans="2:15" x14ac:dyDescent="0.2">
      <c r="I14" s="4"/>
      <c r="J14" s="4"/>
      <c r="K14"/>
      <c r="L14"/>
      <c r="M14"/>
      <c r="N14"/>
      <c r="O14"/>
    </row>
    <row r="15" spans="2:15" x14ac:dyDescent="0.2">
      <c r="I15" s="4"/>
      <c r="J15"/>
      <c r="K15"/>
      <c r="L15"/>
      <c r="M15"/>
      <c r="N15"/>
      <c r="O15"/>
    </row>
    <row r="16" spans="2:15" x14ac:dyDescent="0.2">
      <c r="I16" s="4"/>
      <c r="J16"/>
      <c r="K16"/>
      <c r="L16"/>
      <c r="M16"/>
      <c r="N16"/>
      <c r="O16"/>
    </row>
    <row r="17" spans="9:22" x14ac:dyDescent="0.2">
      <c r="I17" s="52" t="s">
        <v>912</v>
      </c>
      <c r="J17" s="52"/>
      <c r="K17"/>
      <c r="L17"/>
      <c r="M17"/>
      <c r="N17"/>
      <c r="O17"/>
    </row>
    <row r="18" spans="9:22" x14ac:dyDescent="0.2">
      <c r="I18" s="53" t="s">
        <v>961</v>
      </c>
      <c r="J18" s="53"/>
      <c r="K18" s="53"/>
      <c r="L18" s="53"/>
      <c r="M18" s="53"/>
      <c r="N18" s="53"/>
      <c r="O18" s="53"/>
      <c r="P18" s="53"/>
      <c r="Q18" s="53"/>
      <c r="R18" s="53"/>
      <c r="S18" s="53"/>
      <c r="T18" s="53"/>
      <c r="U18" s="53"/>
      <c r="V18" s="53"/>
    </row>
    <row r="19" spans="9:22" x14ac:dyDescent="0.2">
      <c r="I19" s="53"/>
      <c r="J19" s="53"/>
      <c r="K19" s="53"/>
      <c r="L19" s="53"/>
      <c r="M19" s="53"/>
      <c r="N19" s="53"/>
      <c r="O19" s="53"/>
      <c r="P19" s="53"/>
      <c r="Q19" s="53"/>
      <c r="R19" s="53"/>
      <c r="S19" s="53"/>
      <c r="T19" s="53"/>
      <c r="U19" s="53"/>
      <c r="V19" s="53"/>
    </row>
    <row r="28" spans="9:22" x14ac:dyDescent="0.2">
      <c r="I28" s="4"/>
    </row>
    <row r="29" spans="9:22" x14ac:dyDescent="0.2">
      <c r="I29" s="4"/>
    </row>
  </sheetData>
  <mergeCells count="3">
    <mergeCell ref="I10:J10"/>
    <mergeCell ref="I17:J17"/>
    <mergeCell ref="I18:V19"/>
  </mergeCells>
  <pageMargins left="0.7" right="0.7" top="0.75" bottom="0.75" header="0.3" footer="0.3"/>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924084-CCAC-634D-A08D-5E564B8F4238}">
  <dimension ref="B3:I37"/>
  <sheetViews>
    <sheetView zoomScale="90" zoomScaleNormal="82" workbookViewId="0"/>
  </sheetViews>
  <sheetFormatPr baseColWidth="10" defaultRowHeight="16" x14ac:dyDescent="0.2"/>
  <cols>
    <col min="1" max="16384" width="10.83203125" style="15"/>
  </cols>
  <sheetData>
    <row r="3" spans="2:9" x14ac:dyDescent="0.2">
      <c r="B3" s="55" t="s">
        <v>962</v>
      </c>
      <c r="C3" s="55"/>
      <c r="D3" s="55"/>
      <c r="G3" s="54"/>
      <c r="H3" s="54"/>
      <c r="I3" s="54"/>
    </row>
    <row r="4" spans="2:9" x14ac:dyDescent="0.2">
      <c r="B4" s="4" t="s">
        <v>973</v>
      </c>
    </row>
    <row r="5" spans="2:9" x14ac:dyDescent="0.2">
      <c r="B5" s="4" t="s">
        <v>965</v>
      </c>
      <c r="G5" s="25"/>
    </row>
    <row r="6" spans="2:9" x14ac:dyDescent="0.2">
      <c r="B6" s="4" t="s">
        <v>966</v>
      </c>
    </row>
    <row r="7" spans="2:9" x14ac:dyDescent="0.2">
      <c r="B7" s="4" t="s">
        <v>967</v>
      </c>
    </row>
    <row r="8" spans="2:9" x14ac:dyDescent="0.2">
      <c r="B8" s="4" t="s">
        <v>968</v>
      </c>
    </row>
    <row r="9" spans="2:9" x14ac:dyDescent="0.2">
      <c r="B9" s="4"/>
    </row>
    <row r="11" spans="2:9" x14ac:dyDescent="0.2">
      <c r="B11"/>
    </row>
    <row r="12" spans="2:9" x14ac:dyDescent="0.2">
      <c r="B12" s="42" t="s">
        <v>963</v>
      </c>
      <c r="C12" s="42"/>
      <c r="D12" s="42"/>
    </row>
    <row r="13" spans="2:9" x14ac:dyDescent="0.2">
      <c r="B13" t="s">
        <v>969</v>
      </c>
    </row>
    <row r="14" spans="2:9" x14ac:dyDescent="0.2">
      <c r="B14" t="s">
        <v>970</v>
      </c>
    </row>
    <row r="15" spans="2:9" x14ac:dyDescent="0.2">
      <c r="B15" t="s">
        <v>971</v>
      </c>
    </row>
    <row r="16" spans="2:9" x14ac:dyDescent="0.2">
      <c r="B16" t="s">
        <v>972</v>
      </c>
    </row>
    <row r="18" spans="2:4" x14ac:dyDescent="0.2">
      <c r="B18"/>
    </row>
    <row r="20" spans="2:4" x14ac:dyDescent="0.2">
      <c r="B20" s="43" t="s">
        <v>964</v>
      </c>
      <c r="C20" s="43"/>
      <c r="D20" s="43"/>
    </row>
    <row r="21" spans="2:4" x14ac:dyDescent="0.2">
      <c r="B21" t="s">
        <v>975</v>
      </c>
    </row>
    <row r="22" spans="2:4" x14ac:dyDescent="0.2">
      <c r="B22" t="s">
        <v>974</v>
      </c>
    </row>
    <row r="23" spans="2:4" x14ac:dyDescent="0.2">
      <c r="B23" t="s">
        <v>976</v>
      </c>
    </row>
    <row r="37" spans="7:7" x14ac:dyDescent="0.2">
      <c r="G37"/>
    </row>
  </sheetData>
  <mergeCells count="2">
    <mergeCell ref="G3:I3"/>
    <mergeCell ref="B3:D3"/>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Fogli di lavoro</vt:lpstr>
      </vt:variant>
      <vt:variant>
        <vt:i4>9</vt:i4>
      </vt:variant>
    </vt:vector>
  </HeadingPairs>
  <TitlesOfParts>
    <vt:vector size="9" baseType="lpstr">
      <vt:lpstr>00_Dataset</vt:lpstr>
      <vt:lpstr>01_Data_Overview</vt:lpstr>
      <vt:lpstr>02_KPI_Overview</vt:lpstr>
      <vt:lpstr>03_Sales_By_Month</vt:lpstr>
      <vt:lpstr>04_Age_Segment_Insights</vt:lpstr>
      <vt:lpstr>05_Regional_Sales_Insights</vt:lpstr>
      <vt:lpstr>06_Marketing_Effectiveness</vt:lpstr>
      <vt:lpstr>07_Spending_Tier_Analysis</vt:lpstr>
      <vt:lpstr>08_Marketing_Strategies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Marco Polignano</dc:creator>
  <cp:lastModifiedBy>Marco Polignano</cp:lastModifiedBy>
  <dcterms:created xsi:type="dcterms:W3CDTF">2025-10-16T15:57:39Z</dcterms:created>
  <dcterms:modified xsi:type="dcterms:W3CDTF">2025-10-18T15:41:48Z</dcterms:modified>
</cp:coreProperties>
</file>